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DC79930F-51CD-2C49-AC8A-5944CD08BB54}" xr6:coauthVersionLast="47" xr6:coauthVersionMax="47" xr10:uidLastSave="{00000000-0000-0000-0000-000000000000}"/>
  <bookViews>
    <workbookView xWindow="7320" yWindow="2520" windowWidth="45540" windowHeight="25840" xr2:uid="{D6A00CF3-73FC-754C-BC5E-01C0E77AE1EF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AA55" i="2"/>
  <c r="I55" i="2"/>
  <c r="H55" i="2"/>
  <c r="G55" i="2"/>
  <c r="F55" i="2"/>
  <c r="J55" i="2"/>
  <c r="AD25" i="2"/>
  <c r="AE25" i="2" s="1"/>
  <c r="AF25" i="2" s="1"/>
  <c r="AG25" i="2" s="1"/>
  <c r="AH25" i="2" s="1"/>
  <c r="AI25" i="2" s="1"/>
  <c r="AJ25" i="2" s="1"/>
  <c r="AC25" i="2"/>
  <c r="L25" i="2"/>
  <c r="AM58" i="2"/>
  <c r="H134" i="2"/>
  <c r="I134" i="2"/>
  <c r="J134" i="2"/>
  <c r="H133" i="2"/>
  <c r="H132" i="2"/>
  <c r="I133" i="2"/>
  <c r="I132" i="2"/>
  <c r="J133" i="2"/>
  <c r="J132" i="2"/>
  <c r="J130" i="2"/>
  <c r="I130" i="2"/>
  <c r="H130" i="2"/>
  <c r="G130" i="2"/>
  <c r="F130" i="2"/>
  <c r="E130" i="2"/>
  <c r="I92" i="2"/>
  <c r="H92" i="2"/>
  <c r="J92" i="2"/>
  <c r="I129" i="2"/>
  <c r="H129" i="2"/>
  <c r="G129" i="2"/>
  <c r="F129" i="2"/>
  <c r="E129" i="2"/>
  <c r="J129" i="2"/>
  <c r="I127" i="2"/>
  <c r="J125" i="2"/>
  <c r="I125" i="2"/>
  <c r="H125" i="2"/>
  <c r="G125" i="2"/>
  <c r="G123" i="2"/>
  <c r="G111" i="2"/>
  <c r="G104" i="2"/>
  <c r="H126" i="2"/>
  <c r="H123" i="2"/>
  <c r="E123" i="2"/>
  <c r="E111" i="2"/>
  <c r="E104" i="2"/>
  <c r="I126" i="2"/>
  <c r="I124" i="2"/>
  <c r="I123" i="2"/>
  <c r="H111" i="2"/>
  <c r="I111" i="2"/>
  <c r="I104" i="2"/>
  <c r="H104" i="2"/>
  <c r="F104" i="2"/>
  <c r="D104" i="2"/>
  <c r="C104" i="2"/>
  <c r="F123" i="2"/>
  <c r="J123" i="2"/>
  <c r="F111" i="2"/>
  <c r="J111" i="2"/>
  <c r="J104" i="2"/>
  <c r="J124" i="2" s="1"/>
  <c r="J126" i="2" s="1"/>
  <c r="J90" i="2"/>
  <c r="J86" i="2"/>
  <c r="I86" i="2"/>
  <c r="H86" i="2"/>
  <c r="G86" i="2"/>
  <c r="F86" i="2"/>
  <c r="J87" i="2"/>
  <c r="J88" i="2" s="1"/>
  <c r="G74" i="2"/>
  <c r="G76" i="2" s="1"/>
  <c r="G66" i="2"/>
  <c r="I85" i="2"/>
  <c r="H85" i="2"/>
  <c r="G85" i="2"/>
  <c r="F85" i="2"/>
  <c r="E85" i="2"/>
  <c r="D85" i="2"/>
  <c r="C85" i="2"/>
  <c r="J85" i="2"/>
  <c r="H74" i="2"/>
  <c r="H76" i="2" s="1"/>
  <c r="H66" i="2"/>
  <c r="J82" i="2"/>
  <c r="J91" i="2" s="1"/>
  <c r="I82" i="2"/>
  <c r="H82" i="2"/>
  <c r="G82" i="2"/>
  <c r="F82" i="2"/>
  <c r="E82" i="2"/>
  <c r="D82" i="2"/>
  <c r="C82" i="2"/>
  <c r="C83" i="2" s="1"/>
  <c r="J81" i="2"/>
  <c r="I81" i="2"/>
  <c r="H81" i="2"/>
  <c r="G81" i="2"/>
  <c r="F81" i="2"/>
  <c r="E81" i="2"/>
  <c r="D81" i="2"/>
  <c r="C81" i="2"/>
  <c r="I79" i="2"/>
  <c r="H79" i="2"/>
  <c r="G79" i="2"/>
  <c r="G90" i="2" s="1"/>
  <c r="F79" i="2"/>
  <c r="F90" i="2" s="1"/>
  <c r="E79" i="2"/>
  <c r="D79" i="2"/>
  <c r="C79" i="2"/>
  <c r="J79" i="2"/>
  <c r="I78" i="2"/>
  <c r="H78" i="2"/>
  <c r="G78" i="2"/>
  <c r="F78" i="2"/>
  <c r="E78" i="2"/>
  <c r="D78" i="2"/>
  <c r="C78" i="2"/>
  <c r="J78" i="2"/>
  <c r="I74" i="2"/>
  <c r="I76" i="2" s="1"/>
  <c r="I66" i="2"/>
  <c r="F74" i="2"/>
  <c r="F76" i="2" s="1"/>
  <c r="F66" i="2"/>
  <c r="J74" i="2"/>
  <c r="J76" i="2" s="1"/>
  <c r="J66" i="2"/>
  <c r="K7" i="1"/>
  <c r="AM46" i="2"/>
  <c r="AM44" i="2"/>
  <c r="AM62" i="2" s="1"/>
  <c r="N25" i="2"/>
  <c r="Z52" i="2"/>
  <c r="Y52" i="2"/>
  <c r="X52" i="2"/>
  <c r="Z51" i="2"/>
  <c r="Y51" i="2"/>
  <c r="X51" i="2"/>
  <c r="Z50" i="2"/>
  <c r="Y50" i="2"/>
  <c r="X50" i="2"/>
  <c r="W52" i="2"/>
  <c r="W51" i="2"/>
  <c r="W50" i="2"/>
  <c r="J52" i="2"/>
  <c r="H52" i="2"/>
  <c r="G52" i="2"/>
  <c r="D52" i="2"/>
  <c r="J51" i="2"/>
  <c r="H51" i="2"/>
  <c r="G51" i="2"/>
  <c r="D51" i="2"/>
  <c r="J50" i="2"/>
  <c r="H50" i="2"/>
  <c r="G50" i="2"/>
  <c r="D50" i="2"/>
  <c r="C52" i="2"/>
  <c r="C51" i="2"/>
  <c r="C50" i="2"/>
  <c r="J47" i="2"/>
  <c r="AC1" i="2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GI1" i="2" s="1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HL1" i="2" s="1"/>
  <c r="HM1" i="2" s="1"/>
  <c r="HN1" i="2" s="1"/>
  <c r="HO1" i="2" s="1"/>
  <c r="HP1" i="2" s="1"/>
  <c r="HQ1" i="2" s="1"/>
  <c r="HR1" i="2" s="1"/>
  <c r="HS1" i="2" s="1"/>
  <c r="G45" i="2"/>
  <c r="G44" i="2"/>
  <c r="G43" i="2"/>
  <c r="G42" i="2"/>
  <c r="G41" i="2"/>
  <c r="G40" i="2"/>
  <c r="K36" i="2"/>
  <c r="L36" i="2" s="1"/>
  <c r="M36" i="2" s="1"/>
  <c r="N36" i="2" s="1"/>
  <c r="K32" i="2"/>
  <c r="K31" i="2"/>
  <c r="K25" i="2"/>
  <c r="J13" i="2"/>
  <c r="J30" i="2"/>
  <c r="AA34" i="2"/>
  <c r="AA32" i="2"/>
  <c r="AA31" i="2"/>
  <c r="AA29" i="2"/>
  <c r="AA28" i="2"/>
  <c r="AA27" i="2"/>
  <c r="AA26" i="2"/>
  <c r="AA24" i="2"/>
  <c r="AA44" i="2" s="1"/>
  <c r="AA23" i="2"/>
  <c r="AA43" i="2" s="1"/>
  <c r="AA22" i="2"/>
  <c r="AA42" i="2" s="1"/>
  <c r="AA21" i="2"/>
  <c r="AA41" i="2" s="1"/>
  <c r="X44" i="2"/>
  <c r="X43" i="2"/>
  <c r="X42" i="2"/>
  <c r="X41" i="2"/>
  <c r="Y44" i="2"/>
  <c r="Y43" i="2"/>
  <c r="Y42" i="2"/>
  <c r="Y41" i="2"/>
  <c r="Z44" i="2"/>
  <c r="Z43" i="2"/>
  <c r="Z42" i="2"/>
  <c r="Z41" i="2"/>
  <c r="F34" i="2"/>
  <c r="F32" i="2"/>
  <c r="F31" i="2"/>
  <c r="F29" i="2"/>
  <c r="F28" i="2"/>
  <c r="F27" i="2"/>
  <c r="F26" i="2"/>
  <c r="F24" i="2"/>
  <c r="J44" i="2" s="1"/>
  <c r="F23" i="2"/>
  <c r="J43" i="2" s="1"/>
  <c r="F22" i="2"/>
  <c r="J42" i="2" s="1"/>
  <c r="F21" i="2"/>
  <c r="J41" i="2" s="1"/>
  <c r="F15" i="2"/>
  <c r="F14" i="2"/>
  <c r="F12" i="2"/>
  <c r="F11" i="2"/>
  <c r="F10" i="2"/>
  <c r="F9" i="2"/>
  <c r="F8" i="2"/>
  <c r="W13" i="2"/>
  <c r="X13" i="2"/>
  <c r="X40" i="2"/>
  <c r="Y40" i="2"/>
  <c r="W30" i="2"/>
  <c r="W33" i="2" s="1"/>
  <c r="W35" i="2" s="1"/>
  <c r="W37" i="2" s="1"/>
  <c r="Y13" i="2"/>
  <c r="Z13" i="2"/>
  <c r="Z47" i="2"/>
  <c r="Y47" i="2"/>
  <c r="X47" i="2"/>
  <c r="Z40" i="2"/>
  <c r="X30" i="2"/>
  <c r="Y30" i="2"/>
  <c r="Z30" i="2"/>
  <c r="C30" i="2"/>
  <c r="G30" i="2"/>
  <c r="G13" i="2"/>
  <c r="E13" i="2"/>
  <c r="D13" i="2"/>
  <c r="C13" i="2"/>
  <c r="H13" i="2"/>
  <c r="G47" i="2"/>
  <c r="C47" i="2"/>
  <c r="D47" i="2"/>
  <c r="H47" i="2"/>
  <c r="H45" i="2"/>
  <c r="H44" i="2"/>
  <c r="H43" i="2"/>
  <c r="H42" i="2"/>
  <c r="H41" i="2"/>
  <c r="H40" i="2"/>
  <c r="D30" i="2"/>
  <c r="H30" i="2"/>
  <c r="I13" i="2"/>
  <c r="I44" i="2"/>
  <c r="I43" i="2"/>
  <c r="I42" i="2"/>
  <c r="I41" i="2"/>
  <c r="E25" i="2"/>
  <c r="I25" i="2"/>
  <c r="I45" i="2"/>
  <c r="R3" i="2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L6" i="1"/>
  <c r="L7" i="1" s="1"/>
  <c r="K5" i="1"/>
  <c r="G124" i="2" l="1"/>
  <c r="G126" i="2" s="1"/>
  <c r="H124" i="2"/>
  <c r="E124" i="2"/>
  <c r="E126" i="2" s="1"/>
  <c r="G91" i="2"/>
  <c r="F91" i="2"/>
  <c r="F80" i="2"/>
  <c r="F124" i="2"/>
  <c r="F126" i="2" s="1"/>
  <c r="I80" i="2"/>
  <c r="I91" i="2"/>
  <c r="I90" i="2"/>
  <c r="H91" i="2"/>
  <c r="H90" i="2"/>
  <c r="D80" i="2"/>
  <c r="C80" i="2"/>
  <c r="E80" i="2"/>
  <c r="J80" i="2"/>
  <c r="J45" i="2"/>
  <c r="I87" i="2"/>
  <c r="I88" i="2" s="1"/>
  <c r="H87" i="2"/>
  <c r="H88" i="2" s="1"/>
  <c r="G87" i="2"/>
  <c r="G88" i="2" s="1"/>
  <c r="G80" i="2"/>
  <c r="H80" i="2"/>
  <c r="L29" i="2"/>
  <c r="L52" i="2" s="1"/>
  <c r="L28" i="2"/>
  <c r="L51" i="2" s="1"/>
  <c r="L27" i="2"/>
  <c r="L50" i="2" s="1"/>
  <c r="L26" i="2"/>
  <c r="L40" i="2"/>
  <c r="E52" i="2"/>
  <c r="E51" i="2"/>
  <c r="E50" i="2"/>
  <c r="I52" i="2"/>
  <c r="I51" i="2"/>
  <c r="I50" i="2"/>
  <c r="M25" i="2"/>
  <c r="AB32" i="2"/>
  <c r="K8" i="1"/>
  <c r="L32" i="2"/>
  <c r="L31" i="2"/>
  <c r="M31" i="2"/>
  <c r="N31" i="2" s="1"/>
  <c r="AB31" i="2" s="1"/>
  <c r="K23" i="2"/>
  <c r="K43" i="2" s="1"/>
  <c r="K24" i="2"/>
  <c r="K44" i="2" s="1"/>
  <c r="K21" i="2"/>
  <c r="K41" i="2" s="1"/>
  <c r="K22" i="2"/>
  <c r="K42" i="2" s="1"/>
  <c r="K40" i="2"/>
  <c r="J33" i="2"/>
  <c r="J35" i="2" s="1"/>
  <c r="J37" i="2" s="1"/>
  <c r="J48" i="2"/>
  <c r="N28" i="2"/>
  <c r="N51" i="2" s="1"/>
  <c r="N26" i="2"/>
  <c r="N47" i="2" s="1"/>
  <c r="N27" i="2"/>
  <c r="N50" i="2" s="1"/>
  <c r="N29" i="2"/>
  <c r="N52" i="2" s="1"/>
  <c r="N40" i="2"/>
  <c r="K29" i="2"/>
  <c r="K52" i="2" s="1"/>
  <c r="K28" i="2"/>
  <c r="K51" i="2" s="1"/>
  <c r="K27" i="2"/>
  <c r="K50" i="2" s="1"/>
  <c r="K26" i="2"/>
  <c r="I30" i="2"/>
  <c r="I33" i="2" s="1"/>
  <c r="I35" i="2" s="1"/>
  <c r="I37" i="2" s="1"/>
  <c r="AA25" i="2"/>
  <c r="F25" i="2"/>
  <c r="F13" i="2"/>
  <c r="Y33" i="2"/>
  <c r="Y35" i="2" s="1"/>
  <c r="Y37" i="2" s="1"/>
  <c r="Y48" i="2"/>
  <c r="G48" i="2"/>
  <c r="G33" i="2"/>
  <c r="X33" i="2"/>
  <c r="X35" i="2" s="1"/>
  <c r="X37" i="2" s="1"/>
  <c r="X48" i="2"/>
  <c r="Z48" i="2"/>
  <c r="Z33" i="2"/>
  <c r="Z35" i="2" s="1"/>
  <c r="Z37" i="2" s="1"/>
  <c r="C33" i="2"/>
  <c r="C35" i="2" s="1"/>
  <c r="C48" i="2"/>
  <c r="D33" i="2"/>
  <c r="D35" i="2" s="1"/>
  <c r="D48" i="2"/>
  <c r="H33" i="2"/>
  <c r="H35" i="2" s="1"/>
  <c r="H37" i="2" s="1"/>
  <c r="H48" i="2"/>
  <c r="E47" i="2"/>
  <c r="E30" i="2"/>
  <c r="I40" i="2"/>
  <c r="I47" i="2"/>
  <c r="M29" i="2" l="1"/>
  <c r="M52" i="2" s="1"/>
  <c r="M27" i="2"/>
  <c r="M50" i="2" s="1"/>
  <c r="M26" i="2"/>
  <c r="M47" i="2" s="1"/>
  <c r="M28" i="2"/>
  <c r="M51" i="2" s="1"/>
  <c r="L47" i="2"/>
  <c r="L30" i="2"/>
  <c r="L48" i="2" s="1"/>
  <c r="AB25" i="2"/>
  <c r="M40" i="2"/>
  <c r="C37" i="2"/>
  <c r="D83" i="2"/>
  <c r="D37" i="2"/>
  <c r="AA52" i="2"/>
  <c r="AA51" i="2"/>
  <c r="AA50" i="2"/>
  <c r="J40" i="2"/>
  <c r="F52" i="2"/>
  <c r="F51" i="2"/>
  <c r="F50" i="2"/>
  <c r="AB27" i="2"/>
  <c r="AB50" i="2" s="1"/>
  <c r="AB26" i="2"/>
  <c r="AB47" i="2" s="1"/>
  <c r="M32" i="2"/>
  <c r="AC31" i="2"/>
  <c r="K47" i="2"/>
  <c r="K45" i="2"/>
  <c r="AB28" i="2"/>
  <c r="M30" i="2"/>
  <c r="N30" i="2"/>
  <c r="N48" i="2" s="1"/>
  <c r="AB29" i="2"/>
  <c r="AB40" i="2"/>
  <c r="AC40" i="2"/>
  <c r="L33" i="2"/>
  <c r="K30" i="2"/>
  <c r="AA30" i="2"/>
  <c r="AA48" i="2" s="1"/>
  <c r="I48" i="2"/>
  <c r="AA47" i="2"/>
  <c r="AA40" i="2"/>
  <c r="G35" i="2"/>
  <c r="J83" i="2" s="1"/>
  <c r="AA33" i="2"/>
  <c r="F30" i="2"/>
  <c r="F47" i="2"/>
  <c r="E33" i="2"/>
  <c r="E35" i="2" s="1"/>
  <c r="E48" i="2"/>
  <c r="AB51" i="2" l="1"/>
  <c r="AC28" i="2"/>
  <c r="AC51" i="2" s="1"/>
  <c r="E37" i="2"/>
  <c r="F37" i="2" s="1"/>
  <c r="E83" i="2"/>
  <c r="AB30" i="2"/>
  <c r="AB48" i="2" s="1"/>
  <c r="AB52" i="2"/>
  <c r="AC29" i="2"/>
  <c r="AC52" i="2" s="1"/>
  <c r="AC26" i="2"/>
  <c r="AC47" i="2"/>
  <c r="N32" i="2"/>
  <c r="N33" i="2" s="1"/>
  <c r="AD31" i="2"/>
  <c r="AE31" i="2" s="1"/>
  <c r="M33" i="2"/>
  <c r="M48" i="2"/>
  <c r="K33" i="2"/>
  <c r="K48" i="2"/>
  <c r="AC27" i="2"/>
  <c r="AA35" i="2"/>
  <c r="G37" i="2"/>
  <c r="AA37" i="2" s="1"/>
  <c r="AA36" i="2" s="1"/>
  <c r="F48" i="2"/>
  <c r="F33" i="2"/>
  <c r="F35" i="2" s="1"/>
  <c r="G83" i="2" l="1"/>
  <c r="F83" i="2"/>
  <c r="H83" i="2"/>
  <c r="I83" i="2"/>
  <c r="AF31" i="2"/>
  <c r="AG31" i="2" s="1"/>
  <c r="K34" i="2"/>
  <c r="AB33" i="2"/>
  <c r="AC30" i="2"/>
  <c r="AC48" i="2" s="1"/>
  <c r="AC50" i="2"/>
  <c r="AD26" i="2"/>
  <c r="AD27" i="2"/>
  <c r="AD50" i="2" s="1"/>
  <c r="AD28" i="2"/>
  <c r="AD51" i="2" s="1"/>
  <c r="AD29" i="2"/>
  <c r="AD52" i="2" s="1"/>
  <c r="AD40" i="2"/>
  <c r="L34" i="2" l="1"/>
  <c r="K35" i="2"/>
  <c r="K37" i="2" s="1"/>
  <c r="AD47" i="2"/>
  <c r="AD30" i="2"/>
  <c r="AD48" i="2" s="1"/>
  <c r="AH31" i="2"/>
  <c r="AI31" i="2"/>
  <c r="AE29" i="2"/>
  <c r="AE52" i="2" s="1"/>
  <c r="AE28" i="2"/>
  <c r="AE51" i="2" s="1"/>
  <c r="AE27" i="2"/>
  <c r="AE50" i="2" s="1"/>
  <c r="AE26" i="2"/>
  <c r="AE40" i="2"/>
  <c r="AJ31" i="2" l="1"/>
  <c r="L35" i="2"/>
  <c r="L37" i="2" s="1"/>
  <c r="M34" i="2"/>
  <c r="AE47" i="2"/>
  <c r="AE30" i="2"/>
  <c r="AE48" i="2" s="1"/>
  <c r="AF40" i="2"/>
  <c r="AF27" i="2"/>
  <c r="AF29" i="2"/>
  <c r="AF26" i="2"/>
  <c r="AF28" i="2"/>
  <c r="N34" i="2" l="1"/>
  <c r="M35" i="2"/>
  <c r="M37" i="2" s="1"/>
  <c r="AF47" i="2"/>
  <c r="AF30" i="2"/>
  <c r="AF48" i="2" s="1"/>
  <c r="AG40" i="2"/>
  <c r="AG27" i="2"/>
  <c r="AG26" i="2"/>
  <c r="AG28" i="2"/>
  <c r="AG29" i="2"/>
  <c r="AB34" i="2" l="1"/>
  <c r="N35" i="2"/>
  <c r="AG47" i="2"/>
  <c r="AG30" i="2"/>
  <c r="AH28" i="2"/>
  <c r="AH40" i="2"/>
  <c r="AH27" i="2"/>
  <c r="AH26" i="2"/>
  <c r="AH29" i="2"/>
  <c r="AB35" i="2" l="1"/>
  <c r="AM49" i="2" s="1"/>
  <c r="N37" i="2"/>
  <c r="AB37" i="2" s="1"/>
  <c r="AG48" i="2"/>
  <c r="AH47" i="2"/>
  <c r="AH30" i="2"/>
  <c r="AI27" i="2"/>
  <c r="AI26" i="2"/>
  <c r="AI28" i="2"/>
  <c r="AI29" i="2"/>
  <c r="AI40" i="2"/>
  <c r="AB38" i="2" l="1"/>
  <c r="AB36" i="2"/>
  <c r="AC36" i="2" s="1"/>
  <c r="AD36" i="2" s="1"/>
  <c r="AE36" i="2" s="1"/>
  <c r="AF36" i="2" s="1"/>
  <c r="AG36" i="2" s="1"/>
  <c r="AH36" i="2" s="1"/>
  <c r="AI36" i="2" s="1"/>
  <c r="AJ36" i="2" s="1"/>
  <c r="AB55" i="2"/>
  <c r="AC32" i="2" s="1"/>
  <c r="AC33" i="2" s="1"/>
  <c r="AH48" i="2"/>
  <c r="AI30" i="2"/>
  <c r="AI47" i="2"/>
  <c r="AJ29" i="2"/>
  <c r="AJ27" i="2"/>
  <c r="AJ26" i="2"/>
  <c r="AJ28" i="2"/>
  <c r="AJ40" i="2"/>
  <c r="AC34" i="2" l="1"/>
  <c r="AC35" i="2" s="1"/>
  <c r="AM50" i="2" s="1"/>
  <c r="AI48" i="2"/>
  <c r="AJ47" i="2"/>
  <c r="AJ30" i="2"/>
  <c r="AC37" i="2" l="1"/>
  <c r="AC38" i="2"/>
  <c r="AC55" i="2"/>
  <c r="AJ48" i="2"/>
  <c r="AD32" i="2" l="1"/>
  <c r="AD33" i="2" s="1"/>
  <c r="AD34" i="2" l="1"/>
  <c r="AD35" i="2" s="1"/>
  <c r="AD55" i="2" l="1"/>
  <c r="AD38" i="2"/>
  <c r="AD37" i="2"/>
  <c r="AE32" i="2" l="1"/>
  <c r="AE33" i="2" s="1"/>
  <c r="AE34" i="2" s="1"/>
  <c r="AE35" i="2" s="1"/>
  <c r="AE55" i="2" s="1"/>
  <c r="AF32" i="2" s="1"/>
  <c r="AF33" i="2" s="1"/>
  <c r="AF34" i="2" s="1"/>
  <c r="AF35" i="2" s="1"/>
  <c r="AF38" i="2" l="1"/>
  <c r="AF37" i="2"/>
  <c r="AF55" i="2"/>
  <c r="AE37" i="2"/>
  <c r="AE38" i="2"/>
  <c r="AG32" i="2" l="1"/>
  <c r="AG33" i="2" s="1"/>
  <c r="AG34" i="2" s="1"/>
  <c r="AG35" i="2" s="1"/>
  <c r="AG55" i="2" s="1"/>
  <c r="AH32" i="2" s="1"/>
  <c r="AH33" i="2" s="1"/>
  <c r="AH34" i="2" s="1"/>
  <c r="AH35" i="2" s="1"/>
  <c r="AH55" i="2" s="1"/>
  <c r="AG38" i="2" l="1"/>
  <c r="AG37" i="2"/>
  <c r="AI32" i="2"/>
  <c r="AI33" i="2" s="1"/>
  <c r="AH37" i="2"/>
  <c r="AH38" i="2"/>
  <c r="AI34" i="2" l="1"/>
  <c r="AI35" i="2" s="1"/>
  <c r="AI55" i="2" l="1"/>
  <c r="AI37" i="2"/>
  <c r="AI38" i="2"/>
  <c r="AJ32" i="2" l="1"/>
  <c r="AJ33" i="2" s="1"/>
  <c r="AJ34" i="2" s="1"/>
  <c r="AJ35" i="2" s="1"/>
  <c r="AJ55" i="2" s="1"/>
  <c r="AJ37" i="2" l="1"/>
  <c r="AK35" i="2"/>
  <c r="AJ38" i="2"/>
  <c r="AL35" i="2" l="1"/>
  <c r="AK38" i="2"/>
  <c r="AM35" i="2" l="1"/>
  <c r="AL38" i="2"/>
  <c r="AN35" i="2" l="1"/>
  <c r="AM38" i="2"/>
  <c r="AO35" i="2" l="1"/>
  <c r="AN38" i="2"/>
  <c r="AP35" i="2" l="1"/>
  <c r="AO38" i="2"/>
  <c r="AQ35" i="2" l="1"/>
  <c r="AP38" i="2"/>
  <c r="AR35" i="2" l="1"/>
  <c r="AQ38" i="2"/>
  <c r="AS35" i="2" l="1"/>
  <c r="AR38" i="2"/>
  <c r="AT35" i="2" l="1"/>
  <c r="AS38" i="2"/>
  <c r="AU35" i="2" l="1"/>
  <c r="AT38" i="2"/>
  <c r="AV35" i="2" l="1"/>
  <c r="AU38" i="2"/>
  <c r="AW35" i="2" l="1"/>
  <c r="AV38" i="2"/>
  <c r="AX35" i="2" l="1"/>
  <c r="AW38" i="2"/>
  <c r="AY35" i="2" l="1"/>
  <c r="AX38" i="2"/>
  <c r="AZ35" i="2" l="1"/>
  <c r="AY38" i="2"/>
  <c r="BA35" i="2" l="1"/>
  <c r="AZ38" i="2"/>
  <c r="BB35" i="2" l="1"/>
  <c r="BA38" i="2"/>
  <c r="BC35" i="2" l="1"/>
  <c r="BB38" i="2"/>
  <c r="BD35" i="2" l="1"/>
  <c r="BC38" i="2"/>
  <c r="BE35" i="2" l="1"/>
  <c r="BD38" i="2"/>
  <c r="BF35" i="2" l="1"/>
  <c r="BE38" i="2"/>
  <c r="BG35" i="2" l="1"/>
  <c r="BF38" i="2"/>
  <c r="BH35" i="2" l="1"/>
  <c r="BG38" i="2"/>
  <c r="BI35" i="2" l="1"/>
  <c r="BH38" i="2"/>
  <c r="BJ35" i="2" l="1"/>
  <c r="BI38" i="2"/>
  <c r="BK35" i="2" l="1"/>
  <c r="BJ38" i="2"/>
  <c r="BL35" i="2" l="1"/>
  <c r="BK38" i="2"/>
  <c r="BM35" i="2" l="1"/>
  <c r="BL38" i="2"/>
  <c r="BN35" i="2" l="1"/>
  <c r="BM38" i="2"/>
  <c r="BO35" i="2" l="1"/>
  <c r="BN38" i="2"/>
  <c r="BP35" i="2" l="1"/>
  <c r="BO38" i="2"/>
  <c r="BQ35" i="2" l="1"/>
  <c r="BP38" i="2"/>
  <c r="BQ38" i="2" l="1"/>
  <c r="BR35" i="2"/>
  <c r="BS35" i="2" l="1"/>
  <c r="BR38" i="2"/>
  <c r="BT35" i="2" l="1"/>
  <c r="BS38" i="2"/>
  <c r="BU35" i="2" l="1"/>
  <c r="BT38" i="2"/>
  <c r="BV35" i="2" l="1"/>
  <c r="BU38" i="2"/>
  <c r="BW35" i="2" l="1"/>
  <c r="BV38" i="2"/>
  <c r="BX35" i="2" l="1"/>
  <c r="BW38" i="2"/>
  <c r="BX38" i="2" l="1"/>
  <c r="BY35" i="2"/>
  <c r="BZ35" i="2" l="1"/>
  <c r="BY38" i="2"/>
  <c r="CA35" i="2" l="1"/>
  <c r="BZ38" i="2"/>
  <c r="CB35" i="2" l="1"/>
  <c r="CA38" i="2"/>
  <c r="CB38" i="2" l="1"/>
  <c r="CC35" i="2"/>
  <c r="CD35" i="2" l="1"/>
  <c r="CC38" i="2"/>
  <c r="CE35" i="2" l="1"/>
  <c r="CD38" i="2"/>
  <c r="CF35" i="2" l="1"/>
  <c r="CE38" i="2"/>
  <c r="CG35" i="2" l="1"/>
  <c r="CF38" i="2"/>
  <c r="CH35" i="2" l="1"/>
  <c r="CG38" i="2"/>
  <c r="CH38" i="2" l="1"/>
  <c r="CI35" i="2"/>
  <c r="CI38" i="2" l="1"/>
  <c r="CJ35" i="2"/>
  <c r="CK35" i="2" l="1"/>
  <c r="CJ38" i="2"/>
  <c r="CK38" i="2" l="1"/>
  <c r="CL35" i="2"/>
  <c r="CM35" i="2" l="1"/>
  <c r="CL38" i="2"/>
  <c r="CN35" i="2" l="1"/>
  <c r="CM38" i="2"/>
  <c r="CO35" i="2" l="1"/>
  <c r="CN38" i="2"/>
  <c r="CP35" i="2" l="1"/>
  <c r="CO38" i="2"/>
  <c r="CQ35" i="2" l="1"/>
  <c r="CP38" i="2"/>
  <c r="CR35" i="2" l="1"/>
  <c r="CQ38" i="2"/>
  <c r="CS35" i="2" l="1"/>
  <c r="CR38" i="2"/>
  <c r="CT35" i="2" l="1"/>
  <c r="CS38" i="2"/>
  <c r="CU35" i="2" l="1"/>
  <c r="CT38" i="2"/>
  <c r="CV35" i="2" l="1"/>
  <c r="CU38" i="2"/>
  <c r="CV38" i="2" l="1"/>
  <c r="CW35" i="2"/>
  <c r="CX35" i="2" l="1"/>
  <c r="CW38" i="2"/>
  <c r="CY35" i="2" l="1"/>
  <c r="CX38" i="2"/>
  <c r="CZ35" i="2" l="1"/>
  <c r="CY38" i="2"/>
  <c r="DA35" i="2" l="1"/>
  <c r="CZ38" i="2"/>
  <c r="DB35" i="2" l="1"/>
  <c r="DA38" i="2"/>
  <c r="DC35" i="2" l="1"/>
  <c r="DB38" i="2"/>
  <c r="DD35" i="2" l="1"/>
  <c r="DC38" i="2"/>
  <c r="DE35" i="2" l="1"/>
  <c r="DD38" i="2"/>
  <c r="DF35" i="2" l="1"/>
  <c r="DE38" i="2"/>
  <c r="DG35" i="2" l="1"/>
  <c r="DF38" i="2"/>
  <c r="DH35" i="2" l="1"/>
  <c r="DG38" i="2"/>
  <c r="DI35" i="2" l="1"/>
  <c r="DH38" i="2"/>
  <c r="DJ35" i="2" l="1"/>
  <c r="DI38" i="2"/>
  <c r="DK35" i="2" l="1"/>
  <c r="DJ38" i="2"/>
  <c r="DK38" i="2" l="1"/>
  <c r="DL35" i="2"/>
  <c r="DM35" i="2" l="1"/>
  <c r="DL38" i="2"/>
  <c r="DN35" i="2" l="1"/>
  <c r="DM38" i="2"/>
  <c r="DO35" i="2" l="1"/>
  <c r="DN38" i="2"/>
  <c r="DP35" i="2" l="1"/>
  <c r="DO38" i="2"/>
  <c r="DP38" i="2" l="1"/>
  <c r="DQ35" i="2"/>
  <c r="DR35" i="2" l="1"/>
  <c r="DQ38" i="2"/>
  <c r="DS35" i="2" l="1"/>
  <c r="DR38" i="2"/>
  <c r="DS38" i="2" l="1"/>
  <c r="DT35" i="2"/>
  <c r="DU35" i="2" l="1"/>
  <c r="DT38" i="2"/>
  <c r="DV35" i="2" l="1"/>
  <c r="DU38" i="2"/>
  <c r="DV38" i="2" l="1"/>
  <c r="DW35" i="2"/>
  <c r="DX35" i="2" l="1"/>
  <c r="DW38" i="2"/>
  <c r="DY35" i="2" l="1"/>
  <c r="DX38" i="2"/>
  <c r="DZ35" i="2" l="1"/>
  <c r="DY38" i="2"/>
  <c r="EA35" i="2" l="1"/>
  <c r="DZ38" i="2"/>
  <c r="EB35" i="2" l="1"/>
  <c r="EA38" i="2"/>
  <c r="EC35" i="2" l="1"/>
  <c r="EB38" i="2"/>
  <c r="ED35" i="2" l="1"/>
  <c r="EC38" i="2"/>
  <c r="EE35" i="2" l="1"/>
  <c r="ED38" i="2"/>
  <c r="EE38" i="2" l="1"/>
  <c r="EF35" i="2"/>
  <c r="EG35" i="2" l="1"/>
  <c r="EF38" i="2"/>
  <c r="EH35" i="2" l="1"/>
  <c r="EG38" i="2"/>
  <c r="EI35" i="2" l="1"/>
  <c r="EH38" i="2"/>
  <c r="EJ35" i="2" l="1"/>
  <c r="EI38" i="2"/>
  <c r="EK35" i="2" l="1"/>
  <c r="EJ38" i="2"/>
  <c r="EK38" i="2" l="1"/>
  <c r="EL35" i="2"/>
  <c r="EM35" i="2" l="1"/>
  <c r="EL38" i="2"/>
  <c r="EN35" i="2" l="1"/>
  <c r="EM38" i="2"/>
  <c r="EO35" i="2" l="1"/>
  <c r="EN38" i="2"/>
  <c r="EP35" i="2" l="1"/>
  <c r="EO38" i="2"/>
  <c r="EQ35" i="2" l="1"/>
  <c r="EP38" i="2"/>
  <c r="ER35" i="2" l="1"/>
  <c r="EQ38" i="2"/>
  <c r="ES35" i="2" l="1"/>
  <c r="ER38" i="2"/>
  <c r="ET35" i="2" l="1"/>
  <c r="ES38" i="2"/>
  <c r="EU35" i="2" l="1"/>
  <c r="ET38" i="2"/>
  <c r="EV35" i="2" l="1"/>
  <c r="EU38" i="2"/>
  <c r="EW35" i="2" l="1"/>
  <c r="EV38" i="2"/>
  <c r="EX35" i="2" l="1"/>
  <c r="EW38" i="2"/>
  <c r="EY35" i="2" l="1"/>
  <c r="EX38" i="2"/>
  <c r="EZ35" i="2" l="1"/>
  <c r="EY38" i="2"/>
  <c r="FA35" i="2" l="1"/>
  <c r="EZ38" i="2"/>
  <c r="FB35" i="2" l="1"/>
  <c r="FA38" i="2"/>
  <c r="FB38" i="2" l="1"/>
  <c r="FC35" i="2"/>
  <c r="FD35" i="2" l="1"/>
  <c r="FC38" i="2"/>
  <c r="FE35" i="2" l="1"/>
  <c r="FD38" i="2"/>
  <c r="FF35" i="2" l="1"/>
  <c r="FE38" i="2"/>
  <c r="FG35" i="2" l="1"/>
  <c r="FF38" i="2"/>
  <c r="FH35" i="2" l="1"/>
  <c r="FG38" i="2"/>
  <c r="FI35" i="2" l="1"/>
  <c r="FH38" i="2"/>
  <c r="FJ35" i="2" l="1"/>
  <c r="FI38" i="2"/>
  <c r="FK35" i="2" l="1"/>
  <c r="FJ38" i="2"/>
  <c r="FL35" i="2" l="1"/>
  <c r="FK38" i="2"/>
  <c r="FM35" i="2" l="1"/>
  <c r="FL38" i="2"/>
  <c r="FN35" i="2" l="1"/>
  <c r="FM38" i="2"/>
  <c r="FO35" i="2" l="1"/>
  <c r="FN38" i="2"/>
  <c r="FP35" i="2" l="1"/>
  <c r="FO38" i="2"/>
  <c r="FQ35" i="2" l="1"/>
  <c r="FP38" i="2"/>
  <c r="FR35" i="2" l="1"/>
  <c r="FQ38" i="2"/>
  <c r="FS35" i="2" l="1"/>
  <c r="FR38" i="2"/>
  <c r="FS38" i="2" l="1"/>
  <c r="FT35" i="2"/>
  <c r="FU35" i="2" l="1"/>
  <c r="FT38" i="2"/>
  <c r="FU38" i="2" l="1"/>
  <c r="FV35" i="2"/>
  <c r="FW35" i="2" l="1"/>
  <c r="FV38" i="2"/>
  <c r="FX35" i="2" l="1"/>
  <c r="FW38" i="2"/>
  <c r="FY35" i="2" l="1"/>
  <c r="FX38" i="2"/>
  <c r="FZ35" i="2" l="1"/>
  <c r="FY38" i="2"/>
  <c r="GA35" i="2" l="1"/>
  <c r="FZ38" i="2"/>
  <c r="GB35" i="2" l="1"/>
  <c r="GA38" i="2"/>
  <c r="GC35" i="2" l="1"/>
  <c r="GB38" i="2"/>
  <c r="GC38" i="2" l="1"/>
  <c r="GD35" i="2"/>
  <c r="GE35" i="2" l="1"/>
  <c r="GD38" i="2"/>
  <c r="GE38" i="2" l="1"/>
  <c r="GF35" i="2"/>
  <c r="GG35" i="2" l="1"/>
  <c r="GF38" i="2"/>
  <c r="GH35" i="2" l="1"/>
  <c r="GG38" i="2"/>
  <c r="GI35" i="2" l="1"/>
  <c r="GH38" i="2"/>
  <c r="GJ35" i="2" l="1"/>
  <c r="GI38" i="2"/>
  <c r="GK35" i="2" l="1"/>
  <c r="GJ38" i="2"/>
  <c r="GL35" i="2" l="1"/>
  <c r="GK38" i="2"/>
  <c r="GM35" i="2" l="1"/>
  <c r="GL38" i="2"/>
  <c r="GN35" i="2" l="1"/>
  <c r="GM38" i="2"/>
  <c r="GO35" i="2" l="1"/>
  <c r="GN38" i="2"/>
  <c r="GP35" i="2" l="1"/>
  <c r="GO38" i="2"/>
  <c r="GP38" i="2" l="1"/>
  <c r="GQ35" i="2"/>
  <c r="GR35" i="2" l="1"/>
  <c r="GQ38" i="2"/>
  <c r="GS35" i="2" l="1"/>
  <c r="GR38" i="2"/>
  <c r="GS38" i="2" l="1"/>
  <c r="GT35" i="2"/>
  <c r="GU35" i="2" l="1"/>
  <c r="GT38" i="2"/>
  <c r="GU38" i="2" l="1"/>
  <c r="GV35" i="2"/>
  <c r="GW35" i="2" l="1"/>
  <c r="GV38" i="2"/>
  <c r="GX35" i="2" l="1"/>
  <c r="GW38" i="2"/>
  <c r="GY35" i="2" l="1"/>
  <c r="GX38" i="2"/>
  <c r="GZ35" i="2" l="1"/>
  <c r="GY38" i="2"/>
  <c r="HA35" i="2" l="1"/>
  <c r="GZ38" i="2"/>
  <c r="HB35" i="2" l="1"/>
  <c r="HA38" i="2"/>
  <c r="HB38" i="2" l="1"/>
  <c r="HC35" i="2"/>
  <c r="HD35" i="2" l="1"/>
  <c r="HC38" i="2"/>
  <c r="HD38" i="2" l="1"/>
  <c r="HE35" i="2"/>
  <c r="HE38" i="2" l="1"/>
  <c r="HF35" i="2"/>
  <c r="HG35" i="2" l="1"/>
  <c r="HF38" i="2"/>
  <c r="HH35" i="2" l="1"/>
  <c r="HG38" i="2"/>
  <c r="HI35" i="2" l="1"/>
  <c r="HH38" i="2"/>
  <c r="HJ35" i="2" l="1"/>
  <c r="HI38" i="2"/>
  <c r="HJ38" i="2" l="1"/>
  <c r="HK35" i="2"/>
  <c r="HK38" i="2" l="1"/>
  <c r="HL35" i="2"/>
  <c r="HL38" i="2" l="1"/>
  <c r="HM35" i="2"/>
  <c r="HN35" i="2" l="1"/>
  <c r="HM38" i="2"/>
  <c r="HO35" i="2" l="1"/>
  <c r="HN38" i="2"/>
  <c r="HP35" i="2" l="1"/>
  <c r="HO38" i="2"/>
  <c r="HQ35" i="2" l="1"/>
  <c r="HP38" i="2"/>
  <c r="HR35" i="2" l="1"/>
  <c r="HQ38" i="2"/>
  <c r="HS35" i="2" l="1"/>
  <c r="HR38" i="2"/>
  <c r="AM43" i="2" l="1"/>
  <c r="AM45" i="2" s="1"/>
  <c r="HS38" i="2"/>
  <c r="AM47" i="2" l="1"/>
  <c r="AM59" i="2"/>
  <c r="AM60" i="2" s="1"/>
</calcChain>
</file>

<file path=xl/sharedStrings.xml><?xml version="1.0" encoding="utf-8"?>
<sst xmlns="http://schemas.openxmlformats.org/spreadsheetml/2006/main" count="194" uniqueCount="179">
  <si>
    <t>P</t>
  </si>
  <si>
    <t>S</t>
  </si>
  <si>
    <t>MC</t>
  </si>
  <si>
    <t>C</t>
  </si>
  <si>
    <t>D</t>
  </si>
  <si>
    <t>EV</t>
  </si>
  <si>
    <t>Q325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</si>
  <si>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</si>
  <si>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</si>
  <si>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</si>
  <si>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</si>
  <si>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</si>
  <si>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</si>
  <si>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</si>
  <si>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Q225</t>
  </si>
  <si>
    <t>Q425</t>
  </si>
  <si>
    <t xml:space="preserve">Samsung </t>
  </si>
  <si>
    <t>TSMC</t>
  </si>
  <si>
    <t xml:space="preserve">Net Revenue </t>
  </si>
  <si>
    <t>R&amp;D</t>
  </si>
  <si>
    <t>M&amp;S</t>
  </si>
  <si>
    <t>G&amp;A</t>
  </si>
  <si>
    <t>Operating Income</t>
  </si>
  <si>
    <t>Interest Exp</t>
  </si>
  <si>
    <t>Interest Income</t>
  </si>
  <si>
    <t>EBT</t>
  </si>
  <si>
    <t>Taxes</t>
  </si>
  <si>
    <t xml:space="preserve">Net Income </t>
  </si>
  <si>
    <t>Diluted</t>
  </si>
  <si>
    <t>EPS</t>
  </si>
  <si>
    <t xml:space="preserve">Growth YY </t>
  </si>
  <si>
    <t xml:space="preserve">GM% </t>
  </si>
  <si>
    <t>OM%</t>
  </si>
  <si>
    <t xml:space="preserve">Margins </t>
  </si>
  <si>
    <t xml:space="preserve">Semi Systems </t>
  </si>
  <si>
    <t>Applied Global Serv</t>
  </si>
  <si>
    <t xml:space="preserve">Display </t>
  </si>
  <si>
    <t>Corp/Other</t>
  </si>
  <si>
    <t xml:space="preserve">China </t>
  </si>
  <si>
    <t>Korea</t>
  </si>
  <si>
    <t>taiwan</t>
  </si>
  <si>
    <t xml:space="preserve">Japan </t>
  </si>
  <si>
    <t xml:space="preserve">Southeast Asia </t>
  </si>
  <si>
    <t>APAC</t>
  </si>
  <si>
    <t>US</t>
  </si>
  <si>
    <t xml:space="preserve">Europe </t>
  </si>
  <si>
    <t>Foundry, Logic</t>
  </si>
  <si>
    <t xml:space="preserve">DRAM </t>
  </si>
  <si>
    <t>Flash (NAND)</t>
  </si>
  <si>
    <t>Intel</t>
  </si>
  <si>
    <t xml:space="preserve">Q126 </t>
  </si>
  <si>
    <t>Q226</t>
  </si>
  <si>
    <t>Q326</t>
  </si>
  <si>
    <t>Q426</t>
  </si>
  <si>
    <t xml:space="preserve">Terminal </t>
  </si>
  <si>
    <t xml:space="preserve">Discount </t>
  </si>
  <si>
    <t>NPV</t>
  </si>
  <si>
    <t>Press</t>
  </si>
  <si>
    <t>Gary Dickerson</t>
  </si>
  <si>
    <t xml:space="preserve">Brice Hill </t>
  </si>
  <si>
    <t>Shares</t>
  </si>
  <si>
    <t xml:space="preserve">Estimate </t>
  </si>
  <si>
    <t>Current</t>
  </si>
  <si>
    <t>Upside</t>
  </si>
  <si>
    <t xml:space="preserve">Cash </t>
  </si>
  <si>
    <t>ROIC</t>
  </si>
  <si>
    <t xml:space="preserve">Net Cash </t>
  </si>
  <si>
    <t>Investments</t>
  </si>
  <si>
    <t>A/R</t>
  </si>
  <si>
    <t>Inventories</t>
  </si>
  <si>
    <t>OCA</t>
  </si>
  <si>
    <t>LT Investments</t>
  </si>
  <si>
    <t>PPE</t>
  </si>
  <si>
    <t>Goodwill</t>
  </si>
  <si>
    <t>Intangibles</t>
  </si>
  <si>
    <t>Deferred Income tx</t>
  </si>
  <si>
    <t xml:space="preserve">Total Assets </t>
  </si>
  <si>
    <t>TL + E</t>
  </si>
  <si>
    <t>E</t>
  </si>
  <si>
    <t>TL</t>
  </si>
  <si>
    <t>Debt</t>
  </si>
  <si>
    <t>A/P</t>
  </si>
  <si>
    <t xml:space="preserve">Contract Liab </t>
  </si>
  <si>
    <t>LTD</t>
  </si>
  <si>
    <t>Income Tx Payable</t>
  </si>
  <si>
    <t>OL</t>
  </si>
  <si>
    <t xml:space="preserve">Total Cash </t>
  </si>
  <si>
    <t xml:space="preserve">Total Debt </t>
  </si>
  <si>
    <t xml:space="preserve">Book Value </t>
  </si>
  <si>
    <t xml:space="preserve">Tangible Book Value </t>
  </si>
  <si>
    <t>ROTB</t>
  </si>
  <si>
    <t xml:space="preserve">Current Ratio </t>
  </si>
  <si>
    <t xml:space="preserve">Inventory Turnover </t>
  </si>
  <si>
    <t>Days Inv Out</t>
  </si>
  <si>
    <t xml:space="preserve">Quick Ratio </t>
  </si>
  <si>
    <t xml:space="preserve">Liquidity &amp; Working Capital </t>
  </si>
  <si>
    <t xml:space="preserve">Cap Structure </t>
  </si>
  <si>
    <t>D/E</t>
  </si>
  <si>
    <t>Debt To  TangibleEQ</t>
  </si>
  <si>
    <t xml:space="preserve">CFFO </t>
  </si>
  <si>
    <t>Net Income</t>
  </si>
  <si>
    <t>D&amp;A</t>
  </si>
  <si>
    <t xml:space="preserve">Restructuring </t>
  </si>
  <si>
    <t>Deferred i/t</t>
  </si>
  <si>
    <t>SBC</t>
  </si>
  <si>
    <t xml:space="preserve">Other </t>
  </si>
  <si>
    <t>Investment Impairments</t>
  </si>
  <si>
    <t>Change in op asset/liab</t>
  </si>
  <si>
    <t>CFFI</t>
  </si>
  <si>
    <t>Capex</t>
  </si>
  <si>
    <t>Cash paid for acq</t>
  </si>
  <si>
    <t>Proceeds from asset sale</t>
  </si>
  <si>
    <t>Investment Buys</t>
  </si>
  <si>
    <t>Proceeds from sales of inv</t>
  </si>
  <si>
    <t>CFFF</t>
  </si>
  <si>
    <t>Debt Borrowings</t>
  </si>
  <si>
    <t>Debt repayments</t>
  </si>
  <si>
    <t>Proceeds commer paper</t>
  </si>
  <si>
    <t>Repayments commer paper</t>
  </si>
  <si>
    <t xml:space="preserve">Proceeds Common Stock </t>
  </si>
  <si>
    <t>Common Stock repur</t>
  </si>
  <si>
    <t>Tx withholding/EQ awards</t>
  </si>
  <si>
    <t xml:space="preserve">Dividends </t>
  </si>
  <si>
    <t>Payments of Debt issuance</t>
  </si>
  <si>
    <t>Repayments of princ on fin ls</t>
  </si>
  <si>
    <t>Cash Increase</t>
  </si>
  <si>
    <t xml:space="preserve">Cash @ Start </t>
  </si>
  <si>
    <t xml:space="preserve">Cash @ End </t>
  </si>
  <si>
    <t xml:space="preserve">Capex / Revenue </t>
  </si>
  <si>
    <t xml:space="preserve">Restricted Cash </t>
  </si>
  <si>
    <t>FCF</t>
  </si>
  <si>
    <t>4Q FCF</t>
  </si>
  <si>
    <t xml:space="preserve">4Q NI </t>
  </si>
  <si>
    <t>EV / FY26E</t>
  </si>
  <si>
    <t>EV / FY27E</t>
  </si>
  <si>
    <t>Analysts</t>
  </si>
  <si>
    <t>Cantor Fitzgerald</t>
  </si>
  <si>
    <t>WF</t>
  </si>
  <si>
    <t xml:space="preserve">Citi </t>
  </si>
  <si>
    <t>Craig-Hallum</t>
  </si>
  <si>
    <t xml:space="preserve">Needham </t>
  </si>
  <si>
    <t xml:space="preserve">Vs Consc avg </t>
  </si>
  <si>
    <t xml:space="preserve">Average </t>
  </si>
  <si>
    <t>BVPS</t>
  </si>
  <si>
    <t>AMAT sells machines that physically "build" the chip layer by layer</t>
  </si>
  <si>
    <t xml:space="preserve">Tools </t>
  </si>
  <si>
    <t>lay down metals</t>
  </si>
  <si>
    <t>coat the wafer</t>
  </si>
  <si>
    <t xml:space="preserve">carve parts out </t>
  </si>
  <si>
    <t>fill trenches with wires</t>
  </si>
  <si>
    <t>place insulators</t>
  </si>
  <si>
    <t>polish layers flat</t>
  </si>
  <si>
    <t xml:space="preserve">deposit materials that become transistors and wiring </t>
  </si>
  <si>
    <t xml:space="preserve">Business Segments </t>
  </si>
  <si>
    <t xml:space="preserve">Semiconductor Systems: machines that build the chip </t>
  </si>
  <si>
    <t xml:space="preserve">Display: machines for building display panels )TVs, smartphones) and some flexible electronics </t>
  </si>
  <si>
    <t xml:space="preserve">Applied Global Services: service contracts, spare parts, upgrades/maintenance </t>
  </si>
  <si>
    <t xml:space="preserve">Amat sells to fabs that make 3 types of chips </t>
  </si>
  <si>
    <t xml:space="preserve">Foundry, Logic (CPUs, Gpus, iphone chips): high perf chips made by TSMC, INTC, Samsung -- AMAt tools build transistor structures, nanosheets for 3nm/2nm, wiring stacks, metal layers, low-k insulators </t>
  </si>
  <si>
    <t>DRAM (memorey that needs constant refreshing): sells to Sk Hynic, Samsung Memory, Micron -- tools help build capacitor that stores charge, access transistor, tall structures</t>
  </si>
  <si>
    <t xml:space="preserve">Flash (NAND) (SSD/phone storage): sells to Samsung, Kioxia, SK Hynix, Micron -- </t>
  </si>
  <si>
    <t>Key Elements</t>
  </si>
  <si>
    <t>Tungsten (W): used to fill in tiny contact holes and vias.  Thes eplugs connect transistors to wires</t>
  </si>
  <si>
    <t>Copper (Cu): used for wiring and interconnect layers</t>
  </si>
  <si>
    <t xml:space="preserve">Cobalt (Co): used for ultra small wiring where copper fails </t>
  </si>
  <si>
    <t xml:space="preserve">Silicon (Si): all chips built on silicon wafers </t>
  </si>
  <si>
    <r>
      <t>Silicon Dioxide (SiO</t>
    </r>
    <r>
      <rPr>
        <sz val="8"/>
        <color theme="1"/>
        <rFont val="Aptos Narrow (Body)"/>
      </rPr>
      <t>2</t>
    </r>
    <r>
      <rPr>
        <sz val="12"/>
        <color theme="1"/>
        <rFont val="Aptos Narrow (Body)"/>
      </rPr>
      <t>)</t>
    </r>
    <r>
      <rPr>
        <sz val="12"/>
        <color theme="1"/>
        <rFont val="Aptos Narrow"/>
        <family val="2"/>
        <scheme val="minor"/>
      </rPr>
      <t>: insulator that seperates the wiring layers</t>
    </r>
  </si>
  <si>
    <t>High k materials: used to build advanced transistor gates at 10nm, 5nm, 3nm, 2nm</t>
  </si>
  <si>
    <t xml:space="preserve">Aluminum (AI): used in older interconnect layers and some packaging </t>
  </si>
  <si>
    <t>Rare earth elements:  used in magnetics, sensors, plasma tools</t>
  </si>
  <si>
    <t xml:space="preserve">Fluorine (F), Chlorine (CI): for etching and cleaning inside AMAT toold </t>
  </si>
  <si>
    <t>Strengths</t>
  </si>
  <si>
    <t>Deep integration with cutting edge noes (2nm, 3nm, 5nm)</t>
  </si>
  <si>
    <t>Broad portfolio (diversed biz): deposition, CMP, etching, wiring, etc) EVERY fab needs amat</t>
  </si>
  <si>
    <t>Recurring revenue: once a fab installs a machine, the never remove them, pay for maintenance/upgrades</t>
  </si>
  <si>
    <t>Weaknesses</t>
  </si>
  <si>
    <t>Cyclical buisness - tied to semi capex ( TSMC, Samsung, INTC cut spending --&gt; revenue down)</t>
  </si>
  <si>
    <t xml:space="preserve">China exposure - Export control risk </t>
  </si>
  <si>
    <t>Competitive landscape: Lam research (etch &amp; deposition), Toykyo electron (etch &amp; depositin), ASML (EUV reduces deposition steps?)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</si>
</sst>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#,##0.0"/>
    <numFmt numFmtId="166" formatCode="m/d;@"/>
    <numFmt numFmtId="167" formatCode="0.0%"/>
    <numFmt numFmtId="169" formatCode="0.0\x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8"/>
      <color theme="1"/>
      <name val="Aptos Narrow (Body)"/>
    </font>
    <font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3" fontId="0" fillId="0" borderId="0" xfId="0" applyNumberFormat="1"/>
    <xf numFmtId="1" fontId="0" fillId="0" borderId="0" xfId="0" applyNumberFormat="1"/>
    <xf numFmtId="3" fontId="0" fillId="0" borderId="0" xfId="0" applyNumberFormat="1" applyBorder="1"/>
    <xf numFmtId="9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3" fontId="0" fillId="0" borderId="0" xfId="0" applyNumberFormat="1" applyFont="1"/>
    <xf numFmtId="166" fontId="0" fillId="0" borderId="0" xfId="0" applyNumberFormat="1"/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3" fontId="2" fillId="0" borderId="0" xfId="0" applyNumberFormat="1" applyFont="1"/>
    <xf numFmtId="167" fontId="0" fillId="0" borderId="0" xfId="0" applyNumberFormat="1"/>
    <xf numFmtId="3" fontId="3" fillId="0" borderId="0" xfId="1" applyNumberFormat="1"/>
    <xf numFmtId="9" fontId="1" fillId="2" borderId="0" xfId="0" applyNumberFormat="1" applyFont="1" applyFill="1" applyAlignment="1">
      <alignment horizontal="right"/>
    </xf>
    <xf numFmtId="169" fontId="0" fillId="0" borderId="0" xfId="0" applyNumberFormat="1" applyAlignment="1">
      <alignment horizontal="right"/>
    </xf>
    <xf numFmtId="3" fontId="4" fillId="0" borderId="0" xfId="0" applyNumberFormat="1" applyFont="1"/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3" fontId="0" fillId="0" borderId="2" xfId="0" applyNumberFormat="1" applyBorder="1"/>
    <xf numFmtId="3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9" fontId="0" fillId="0" borderId="0" xfId="0" applyNumberFormat="1" applyBorder="1" applyAlignment="1">
      <alignment horizontal="right"/>
    </xf>
    <xf numFmtId="3" fontId="1" fillId="0" borderId="0" xfId="0" applyNumberFormat="1" applyFont="1" applyBorder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69" fontId="0" fillId="0" borderId="0" xfId="0" applyNumberFormat="1"/>
    <xf numFmtId="169" fontId="2" fillId="0" borderId="0" xfId="0" applyNumberFormat="1" applyFont="1"/>
    <xf numFmtId="166" fontId="1" fillId="0" borderId="0" xfId="0" applyNumberFormat="1" applyFont="1"/>
    <xf numFmtId="3" fontId="0" fillId="2" borderId="0" xfId="0" applyNumberFormat="1" applyFill="1" applyAlignment="1">
      <alignment horizontal="right"/>
    </xf>
    <xf numFmtId="6" fontId="0" fillId="0" borderId="0" xfId="0" applyNumberFormat="1"/>
    <xf numFmtId="3" fontId="0" fillId="0" borderId="0" xfId="0" applyNumberFormat="1" applyBorder="1" applyAlignment="1">
      <alignment horizontal="left" indent="1"/>
    </xf>
    <xf numFmtId="3" fontId="0" fillId="0" borderId="0" xfId="0" applyNumberFormat="1" applyAlignment="1">
      <alignment horizontal="left" indent="1"/>
    </xf>
    <xf numFmtId="3" fontId="0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453668</xdr:colOff>
      <xdr:row>0</xdr:row>
      <xdr:rowOff>23432</xdr:rowOff>
    </xdr:from>
    <xdr:to>
      <xdr:col>10</xdr:col>
      <xdr:colOff>28222</xdr:colOff>
      <xdr:row>113</xdr:row>
      <xdr:rowOff>112888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BBBC4A-B552-E092-3F04-9A8947E46202}"/>
            </a:ext>
          </a:extLst>
        </xdr:cNvPr>
        <xdr:cNvCxnSpPr/>
      </xdr:nvCxnSpPr>
      <xdr:spPr>
        <a:xfrm>
          <a:off x="6218057" y="23432"/>
          <a:ext cx="96665" cy="232105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505623</xdr:colOff>
      <xdr:row>0</xdr:row>
      <xdr:rowOff>0</xdr:rowOff>
    </xdr:from>
    <xdr:to>
      <xdr:col>27</xdr:col>
      <xdr:colOff>5773</xdr:colOff>
      <xdr:row>55</xdr:row>
      <xdr:rowOff>196273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0595C76-10A6-0847-A757-3A6DF8DCC4F9}"/>
            </a:ext>
          </a:extLst>
        </xdr:cNvPr>
        <xdr:cNvCxnSpPr/>
      </xdr:nvCxnSpPr>
      <xdr:spPr>
        <a:xfrm>
          <a:off x="12795759" y="0"/>
          <a:ext cx="8150" cy="113087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appliedmaterials.com/static-files/4d09885a-c580-4dc7-b04e-c9513ab0320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089D-07A1-DC40-A5F0-6D19322D2551}">
  <dimension ref="A3:L45"/>
  <sheetViews>
    <sheetView showGridLines="0" tabSelected="1" zoomScale="219" workbookViewId="0">
      <selection activeCell="C3" sqref="C3"/>
    </sheetView>
  </sheetViews>
  <sheetFormatPr baseColWidth="10" defaultRowHeight="16" x14ac:dyDescent="0.2"/>
  <cols>
    <col min="1" max="1" width="3.1640625" style="1" customWidth="1"/>
    <col min="2" max="2" width="5.1640625" style="1" bestFit="1" customWidth="1"/>
    <col min="3" max="3" width="25.33203125" style="1" bestFit="1" customWidth="1"/>
    <col min="4" max="4" width="16" style="1" bestFit="1" customWidth="1"/>
    <col min="5" max="5" width="10.33203125" style="1" bestFit="1" customWidth="1"/>
    <col min="6" max="6" width="7.6640625" style="1" bestFit="1" customWidth="1"/>
    <col min="7" max="7" width="5.5" style="1" bestFit="1" customWidth="1"/>
    <col min="8" max="8" width="10.33203125" style="1" bestFit="1" customWidth="1"/>
    <col min="9" max="9" width="7.6640625" style="1" bestFit="1" customWidth="1"/>
    <col min="10" max="10" width="5.5" style="1" bestFit="1" customWidth="1"/>
    <col min="11" max="16384" width="10.83203125" style="1"/>
  </cols>
  <sheetData>
    <row r="3" spans="1:12" x14ac:dyDescent="0.2">
      <c r="B3" s="1" t="s">
        <v>7</v>
      </c>
      <c r="C3" s="1" t="s">
        <v>58</v>
      </c>
      <c r="E3" s="1" t="s">
        <v>57</v>
      </c>
      <c r="J3" s="1" t="s">
        <v>0</v>
      </c>
      <c r="K3" s="1">
        <v>230.29</v>
      </c>
    </row>
    <row r="4" spans="1:12" x14ac:dyDescent="0.2">
      <c r="B4" s="1" t="s">
        <v>8</v>
      </c>
      <c r="C4" s="1" t="s">
        <v>59</v>
      </c>
      <c r="E4" s="20" t="s">
        <v>15</v>
      </c>
      <c r="J4" s="1" t="s">
        <v>1</v>
      </c>
      <c r="K4" s="1">
        <v>798</v>
      </c>
      <c r="L4" s="1" t="s">
        <v>15</v>
      </c>
    </row>
    <row r="5" spans="1:12" x14ac:dyDescent="0.2">
      <c r="J5" s="1" t="s">
        <v>2</v>
      </c>
      <c r="K5" s="1">
        <f>+K3*K4</f>
        <v>183771.41999999998</v>
      </c>
    </row>
    <row r="6" spans="1:12" x14ac:dyDescent="0.2">
      <c r="C6" s="1" t="s">
        <v>171</v>
      </c>
      <c r="J6" s="1" t="s">
        <v>3</v>
      </c>
      <c r="K6" s="1">
        <f>+Model!J78</f>
        <v>10844</v>
      </c>
      <c r="L6" s="1" t="str">
        <f>+L4</f>
        <v>Q425</v>
      </c>
    </row>
    <row r="7" spans="1:12" x14ac:dyDescent="0.2">
      <c r="C7" s="1" t="s">
        <v>173</v>
      </c>
      <c r="J7" s="1" t="s">
        <v>4</v>
      </c>
      <c r="K7" s="1">
        <f>100+6455</f>
        <v>6555</v>
      </c>
      <c r="L7" s="1" t="str">
        <f>+L6</f>
        <v>Q425</v>
      </c>
    </row>
    <row r="8" spans="1:12" x14ac:dyDescent="0.2">
      <c r="C8" s="1" t="s">
        <v>172</v>
      </c>
      <c r="J8" s="1" t="s">
        <v>5</v>
      </c>
      <c r="K8" s="1">
        <f>+K5-K6+K7</f>
        <v>179482.41999999998</v>
      </c>
    </row>
    <row r="9" spans="1:12" x14ac:dyDescent="0.2">
      <c r="C9" s="1" t="s">
        <v>174</v>
      </c>
    </row>
    <row r="11" spans="1:12" x14ac:dyDescent="0.2">
      <c r="C11" s="1" t="s">
        <v>175</v>
      </c>
    </row>
    <row r="12" spans="1:12" x14ac:dyDescent="0.2">
      <c r="C12" s="1" t="s">
        <v>176</v>
      </c>
    </row>
    <row r="13" spans="1:12" x14ac:dyDescent="0.2">
      <c r="C13" s="1" t="s">
        <v>177</v>
      </c>
    </row>
    <row r="14" spans="1:12" x14ac:dyDescent="0.2">
      <c r="C14" s="1" t="s">
        <v>178</v>
      </c>
      <c r="I14" s="4"/>
    </row>
    <row r="16" spans="1:12" x14ac:dyDescent="0.2">
      <c r="A16" s="3"/>
      <c r="B16" s="3"/>
      <c r="C16" s="6" t="s">
        <v>144</v>
      </c>
      <c r="D16" s="3"/>
      <c r="E16" s="3"/>
    </row>
    <row r="17" spans="1:6" x14ac:dyDescent="0.2">
      <c r="A17" s="3"/>
      <c r="B17" s="3"/>
      <c r="C17" s="3" t="s">
        <v>145</v>
      </c>
      <c r="D17" s="3"/>
      <c r="E17" s="3"/>
    </row>
    <row r="18" spans="1:6" x14ac:dyDescent="0.2">
      <c r="A18" s="3"/>
      <c r="B18" s="3"/>
      <c r="C18" s="39" t="s">
        <v>146</v>
      </c>
      <c r="D18" s="3"/>
      <c r="E18" s="3"/>
    </row>
    <row r="19" spans="1:6" x14ac:dyDescent="0.2">
      <c r="C19" s="39" t="s">
        <v>147</v>
      </c>
    </row>
    <row r="20" spans="1:6" x14ac:dyDescent="0.2">
      <c r="C20" s="40" t="s">
        <v>148</v>
      </c>
    </row>
    <row r="21" spans="1:6" x14ac:dyDescent="0.2">
      <c r="C21" s="40" t="s">
        <v>149</v>
      </c>
    </row>
    <row r="22" spans="1:6" x14ac:dyDescent="0.2">
      <c r="C22" s="40" t="s">
        <v>150</v>
      </c>
      <c r="D22" s="3"/>
      <c r="E22" s="3"/>
      <c r="F22" s="3"/>
    </row>
    <row r="23" spans="1:6" x14ac:dyDescent="0.2">
      <c r="C23" s="40" t="s">
        <v>151</v>
      </c>
      <c r="D23" s="3"/>
      <c r="E23" s="3"/>
      <c r="F23" s="3"/>
    </row>
    <row r="24" spans="1:6" x14ac:dyDescent="0.2">
      <c r="C24" s="40" t="s">
        <v>152</v>
      </c>
      <c r="D24" s="3"/>
      <c r="E24" s="3"/>
      <c r="F24" s="3"/>
    </row>
    <row r="25" spans="1:6" x14ac:dyDescent="0.2">
      <c r="D25" s="3"/>
      <c r="E25" s="3"/>
      <c r="F25" s="3"/>
    </row>
    <row r="26" spans="1:6" x14ac:dyDescent="0.2">
      <c r="C26" s="31" t="s">
        <v>153</v>
      </c>
      <c r="D26" s="3"/>
      <c r="E26" s="3"/>
      <c r="F26" s="3"/>
    </row>
    <row r="27" spans="1:6" x14ac:dyDescent="0.2">
      <c r="C27" s="3" t="s">
        <v>154</v>
      </c>
      <c r="D27" s="3"/>
      <c r="E27" s="3"/>
      <c r="F27" s="3"/>
    </row>
    <row r="28" spans="1:6" x14ac:dyDescent="0.2">
      <c r="C28" s="3" t="s">
        <v>156</v>
      </c>
      <c r="D28" s="3"/>
      <c r="E28" s="3"/>
      <c r="F28" s="3"/>
    </row>
    <row r="29" spans="1:6" x14ac:dyDescent="0.2">
      <c r="C29" s="3" t="s">
        <v>155</v>
      </c>
    </row>
    <row r="30" spans="1:6" x14ac:dyDescent="0.2">
      <c r="C30" s="3"/>
    </row>
    <row r="31" spans="1:6" x14ac:dyDescent="0.2">
      <c r="C31" s="31" t="s">
        <v>157</v>
      </c>
    </row>
    <row r="32" spans="1:6" x14ac:dyDescent="0.2">
      <c r="C32" s="41" t="s">
        <v>158</v>
      </c>
    </row>
    <row r="33" spans="3:3" x14ac:dyDescent="0.2">
      <c r="C33" s="40" t="s">
        <v>159</v>
      </c>
    </row>
    <row r="34" spans="3:3" x14ac:dyDescent="0.2">
      <c r="C34" s="40" t="s">
        <v>160</v>
      </c>
    </row>
    <row r="36" spans="3:3" x14ac:dyDescent="0.2">
      <c r="C36" s="6" t="s">
        <v>161</v>
      </c>
    </row>
    <row r="37" spans="3:3" x14ac:dyDescent="0.2">
      <c r="C37" s="1" t="s">
        <v>162</v>
      </c>
    </row>
    <row r="38" spans="3:3" x14ac:dyDescent="0.2">
      <c r="C38" s="1" t="s">
        <v>163</v>
      </c>
    </row>
    <row r="39" spans="3:3" x14ac:dyDescent="0.2">
      <c r="C39" s="1" t="s">
        <v>164</v>
      </c>
    </row>
    <row r="40" spans="3:3" x14ac:dyDescent="0.2">
      <c r="C40" s="1" t="s">
        <v>165</v>
      </c>
    </row>
    <row r="41" spans="3:3" x14ac:dyDescent="0.2">
      <c r="C41" s="1" t="s">
        <v>166</v>
      </c>
    </row>
    <row r="42" spans="3:3" x14ac:dyDescent="0.2">
      <c r="C42" s="1" t="s">
        <v>167</v>
      </c>
    </row>
    <row r="43" spans="3:3" x14ac:dyDescent="0.2">
      <c r="C43" s="1" t="s">
        <v>168</v>
      </c>
    </row>
    <row r="44" spans="3:3" x14ac:dyDescent="0.2">
      <c r="C44" s="1" t="s">
        <v>169</v>
      </c>
    </row>
    <row r="45" spans="3:3" x14ac:dyDescent="0.2">
      <c r="C45" s="1" t="s">
        <v>170</v>
      </c>
    </row>
  </sheetData>
  <hyperlinks>
    <hyperlink ref="E4" r:id="rId1" xr:uid="{B56A138F-C7E7-FC42-8416-77D88B1576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B6DB-0233-BF4F-99BB-0C33D388BAAE}">
  <dimension ref="A1:HS134"/>
  <sheetViews>
    <sheetView zoomScale="180" zoomScaleNormal="180" workbookViewId="0">
      <pane xSplit="2" ySplit="3" topLeftCell="Q16" activePane="bottomRight" state="frozen"/>
      <selection pane="topRight" activeCell="C1" sqref="C1"/>
      <selection pane="bottomLeft" activeCell="A3" sqref="A3"/>
      <selection pane="bottomRight" activeCell="AI42" sqref="AI42"/>
    </sheetView>
  </sheetViews>
  <sheetFormatPr baseColWidth="10" defaultRowHeight="16" x14ac:dyDescent="0.2"/>
  <cols>
    <col min="1" max="1" width="1.33203125" style="1" customWidth="1"/>
    <col min="2" max="2" width="24.5" style="1" bestFit="1" customWidth="1"/>
    <col min="3" max="5" width="7.33203125" style="10" bestFit="1" customWidth="1"/>
    <col min="6" max="6" width="6.83203125" style="10" bestFit="1" customWidth="1"/>
    <col min="7" max="7" width="7.33203125" style="10" bestFit="1" customWidth="1"/>
    <col min="8" max="10" width="6.83203125" style="10" bestFit="1" customWidth="1"/>
    <col min="11" max="11" width="7.83203125" style="1" bestFit="1" customWidth="1"/>
    <col min="12" max="15" width="5.6640625" style="1" customWidth="1"/>
    <col min="16" max="16" width="10.83203125" style="1"/>
    <col min="17" max="22" width="5.1640625" style="1" bestFit="1" customWidth="1"/>
    <col min="23" max="37" width="6.6640625" style="1" bestFit="1" customWidth="1"/>
    <col min="38" max="38" width="8.83203125" style="1" bestFit="1" customWidth="1"/>
    <col min="39" max="39" width="11.83203125" style="1" bestFit="1" customWidth="1"/>
    <col min="40" max="40" width="10.6640625" style="1" bestFit="1" customWidth="1"/>
    <col min="41" max="65" width="5.1640625" style="1" bestFit="1" customWidth="1"/>
    <col min="66" max="227" width="5.6640625" style="1" bestFit="1" customWidth="1"/>
    <col min="228" max="16384" width="10.83203125" style="1"/>
  </cols>
  <sheetData>
    <row r="1" spans="2:227" x14ac:dyDescent="0.2">
      <c r="AB1" s="1">
        <v>1</v>
      </c>
      <c r="AC1" s="1">
        <f>+AB1+1</f>
        <v>2</v>
      </c>
      <c r="AD1" s="1">
        <f t="shared" ref="AD1:AK1" si="0">+AC1+1</f>
        <v>3</v>
      </c>
      <c r="AE1" s="1">
        <f t="shared" si="0"/>
        <v>4</v>
      </c>
      <c r="AF1" s="1">
        <f t="shared" si="0"/>
        <v>5</v>
      </c>
      <c r="AG1" s="1">
        <f t="shared" si="0"/>
        <v>6</v>
      </c>
      <c r="AH1" s="1">
        <f t="shared" si="0"/>
        <v>7</v>
      </c>
      <c r="AI1" s="1">
        <f t="shared" si="0"/>
        <v>8</v>
      </c>
      <c r="AJ1" s="1">
        <f t="shared" si="0"/>
        <v>9</v>
      </c>
      <c r="AK1" s="1">
        <f t="shared" si="0"/>
        <v>10</v>
      </c>
      <c r="AL1" s="1">
        <f t="shared" ref="AL1:CW1" si="1">+AK1+1</f>
        <v>11</v>
      </c>
      <c r="AM1" s="1">
        <f t="shared" si="1"/>
        <v>12</v>
      </c>
      <c r="AN1" s="1">
        <f t="shared" si="1"/>
        <v>13</v>
      </c>
      <c r="AO1" s="1">
        <f t="shared" si="1"/>
        <v>14</v>
      </c>
      <c r="AP1" s="1">
        <f t="shared" si="1"/>
        <v>15</v>
      </c>
      <c r="AQ1" s="1">
        <f t="shared" si="1"/>
        <v>16</v>
      </c>
      <c r="AR1" s="1">
        <f t="shared" si="1"/>
        <v>17</v>
      </c>
      <c r="AS1" s="1">
        <f t="shared" si="1"/>
        <v>18</v>
      </c>
      <c r="AT1" s="1">
        <f t="shared" si="1"/>
        <v>19</v>
      </c>
      <c r="AU1" s="1">
        <f t="shared" si="1"/>
        <v>20</v>
      </c>
      <c r="AV1" s="1">
        <f t="shared" si="1"/>
        <v>21</v>
      </c>
      <c r="AW1" s="1">
        <f t="shared" si="1"/>
        <v>22</v>
      </c>
      <c r="AX1" s="1">
        <f t="shared" si="1"/>
        <v>23</v>
      </c>
      <c r="AY1" s="1">
        <f t="shared" si="1"/>
        <v>24</v>
      </c>
      <c r="AZ1" s="1">
        <f t="shared" si="1"/>
        <v>25</v>
      </c>
      <c r="BA1" s="1">
        <f t="shared" si="1"/>
        <v>26</v>
      </c>
      <c r="BB1" s="1">
        <f t="shared" si="1"/>
        <v>27</v>
      </c>
      <c r="BC1" s="1">
        <f t="shared" si="1"/>
        <v>28</v>
      </c>
      <c r="BD1" s="1">
        <f t="shared" si="1"/>
        <v>29</v>
      </c>
      <c r="BE1" s="1">
        <f t="shared" si="1"/>
        <v>30</v>
      </c>
      <c r="BF1" s="1">
        <f t="shared" si="1"/>
        <v>31</v>
      </c>
      <c r="BG1" s="1">
        <f t="shared" si="1"/>
        <v>32</v>
      </c>
      <c r="BH1" s="1">
        <f t="shared" si="1"/>
        <v>33</v>
      </c>
      <c r="BI1" s="1">
        <f t="shared" si="1"/>
        <v>34</v>
      </c>
      <c r="BJ1" s="1">
        <f t="shared" si="1"/>
        <v>35</v>
      </c>
      <c r="BK1" s="1">
        <f t="shared" si="1"/>
        <v>36</v>
      </c>
      <c r="BL1" s="1">
        <f t="shared" si="1"/>
        <v>37</v>
      </c>
      <c r="BM1" s="1">
        <f t="shared" si="1"/>
        <v>38</v>
      </c>
      <c r="BN1" s="1">
        <f t="shared" si="1"/>
        <v>39</v>
      </c>
      <c r="BO1" s="1">
        <f t="shared" si="1"/>
        <v>40</v>
      </c>
      <c r="BP1" s="1">
        <f t="shared" si="1"/>
        <v>41</v>
      </c>
      <c r="BQ1" s="1">
        <f t="shared" si="1"/>
        <v>42</v>
      </c>
      <c r="BR1" s="1">
        <f t="shared" si="1"/>
        <v>43</v>
      </c>
      <c r="BS1" s="1">
        <f t="shared" si="1"/>
        <v>44</v>
      </c>
      <c r="BT1" s="1">
        <f t="shared" si="1"/>
        <v>45</v>
      </c>
      <c r="BU1" s="1">
        <f t="shared" si="1"/>
        <v>46</v>
      </c>
      <c r="BV1" s="1">
        <f t="shared" si="1"/>
        <v>47</v>
      </c>
      <c r="BW1" s="1">
        <f t="shared" si="1"/>
        <v>48</v>
      </c>
      <c r="BX1" s="1">
        <f t="shared" si="1"/>
        <v>49</v>
      </c>
      <c r="BY1" s="1">
        <f t="shared" si="1"/>
        <v>50</v>
      </c>
      <c r="BZ1" s="1">
        <f t="shared" si="1"/>
        <v>51</v>
      </c>
      <c r="CA1" s="1">
        <f t="shared" si="1"/>
        <v>52</v>
      </c>
      <c r="CB1" s="1">
        <f t="shared" si="1"/>
        <v>53</v>
      </c>
      <c r="CC1" s="1">
        <f t="shared" si="1"/>
        <v>54</v>
      </c>
      <c r="CD1" s="1">
        <f t="shared" si="1"/>
        <v>55</v>
      </c>
      <c r="CE1" s="1">
        <f t="shared" si="1"/>
        <v>56</v>
      </c>
      <c r="CF1" s="1">
        <f t="shared" si="1"/>
        <v>57</v>
      </c>
      <c r="CG1" s="1">
        <f t="shared" si="1"/>
        <v>58</v>
      </c>
      <c r="CH1" s="1">
        <f t="shared" si="1"/>
        <v>59</v>
      </c>
      <c r="CI1" s="1">
        <f t="shared" si="1"/>
        <v>60</v>
      </c>
      <c r="CJ1" s="1">
        <f t="shared" si="1"/>
        <v>61</v>
      </c>
      <c r="CK1" s="1">
        <f t="shared" si="1"/>
        <v>62</v>
      </c>
      <c r="CL1" s="1">
        <f t="shared" si="1"/>
        <v>63</v>
      </c>
      <c r="CM1" s="1">
        <f t="shared" si="1"/>
        <v>64</v>
      </c>
      <c r="CN1" s="1">
        <f t="shared" si="1"/>
        <v>65</v>
      </c>
      <c r="CO1" s="1">
        <f t="shared" si="1"/>
        <v>66</v>
      </c>
      <c r="CP1" s="1">
        <f t="shared" si="1"/>
        <v>67</v>
      </c>
      <c r="CQ1" s="1">
        <f t="shared" si="1"/>
        <v>68</v>
      </c>
      <c r="CR1" s="1">
        <f t="shared" si="1"/>
        <v>69</v>
      </c>
      <c r="CS1" s="1">
        <f t="shared" si="1"/>
        <v>70</v>
      </c>
      <c r="CT1" s="1">
        <f t="shared" si="1"/>
        <v>71</v>
      </c>
      <c r="CU1" s="1">
        <f t="shared" si="1"/>
        <v>72</v>
      </c>
      <c r="CV1" s="1">
        <f t="shared" si="1"/>
        <v>73</v>
      </c>
      <c r="CW1" s="1">
        <f t="shared" si="1"/>
        <v>74</v>
      </c>
      <c r="CX1" s="1">
        <f t="shared" ref="CX1:EK1" si="2">+CW1+1</f>
        <v>75</v>
      </c>
      <c r="CY1" s="1">
        <f t="shared" si="2"/>
        <v>76</v>
      </c>
      <c r="CZ1" s="1">
        <f t="shared" si="2"/>
        <v>77</v>
      </c>
      <c r="DA1" s="1">
        <f t="shared" si="2"/>
        <v>78</v>
      </c>
      <c r="DB1" s="1">
        <f t="shared" si="2"/>
        <v>79</v>
      </c>
      <c r="DC1" s="1">
        <f t="shared" si="2"/>
        <v>80</v>
      </c>
      <c r="DD1" s="1">
        <f t="shared" si="2"/>
        <v>81</v>
      </c>
      <c r="DE1" s="1">
        <f t="shared" si="2"/>
        <v>82</v>
      </c>
      <c r="DF1" s="1">
        <f t="shared" si="2"/>
        <v>83</v>
      </c>
      <c r="DG1" s="1">
        <f t="shared" si="2"/>
        <v>84</v>
      </c>
      <c r="DH1" s="1">
        <f t="shared" si="2"/>
        <v>85</v>
      </c>
      <c r="DI1" s="1">
        <f t="shared" si="2"/>
        <v>86</v>
      </c>
      <c r="DJ1" s="1">
        <f t="shared" si="2"/>
        <v>87</v>
      </c>
      <c r="DK1" s="1">
        <f t="shared" si="2"/>
        <v>88</v>
      </c>
      <c r="DL1" s="1">
        <f t="shared" si="2"/>
        <v>89</v>
      </c>
      <c r="DM1" s="1">
        <f t="shared" si="2"/>
        <v>90</v>
      </c>
      <c r="DN1" s="1">
        <f t="shared" si="2"/>
        <v>91</v>
      </c>
      <c r="DO1" s="1">
        <f t="shared" si="2"/>
        <v>92</v>
      </c>
      <c r="DP1" s="1">
        <f t="shared" si="2"/>
        <v>93</v>
      </c>
      <c r="DQ1" s="1">
        <f t="shared" si="2"/>
        <v>94</v>
      </c>
      <c r="DR1" s="1">
        <f t="shared" si="2"/>
        <v>95</v>
      </c>
      <c r="DS1" s="1">
        <f t="shared" si="2"/>
        <v>96</v>
      </c>
      <c r="DT1" s="1">
        <f t="shared" si="2"/>
        <v>97</v>
      </c>
      <c r="DU1" s="1">
        <f t="shared" si="2"/>
        <v>98</v>
      </c>
      <c r="DV1" s="1">
        <f t="shared" si="2"/>
        <v>99</v>
      </c>
      <c r="DW1" s="1">
        <f t="shared" si="2"/>
        <v>100</v>
      </c>
      <c r="DX1" s="1">
        <f t="shared" si="2"/>
        <v>101</v>
      </c>
      <c r="DY1" s="1">
        <f t="shared" si="2"/>
        <v>102</v>
      </c>
      <c r="DZ1" s="1">
        <f t="shared" si="2"/>
        <v>103</v>
      </c>
      <c r="EA1" s="1">
        <f t="shared" si="2"/>
        <v>104</v>
      </c>
      <c r="EB1" s="1">
        <f t="shared" si="2"/>
        <v>105</v>
      </c>
      <c r="EC1" s="1">
        <f t="shared" si="2"/>
        <v>106</v>
      </c>
      <c r="ED1" s="1">
        <f t="shared" si="2"/>
        <v>107</v>
      </c>
      <c r="EE1" s="1">
        <f t="shared" si="2"/>
        <v>108</v>
      </c>
      <c r="EF1" s="1">
        <f t="shared" si="2"/>
        <v>109</v>
      </c>
      <c r="EG1" s="1">
        <f t="shared" si="2"/>
        <v>110</v>
      </c>
      <c r="EH1" s="1">
        <f t="shared" si="2"/>
        <v>111</v>
      </c>
      <c r="EI1" s="1">
        <f t="shared" si="2"/>
        <v>112</v>
      </c>
      <c r="EJ1" s="1">
        <f t="shared" si="2"/>
        <v>113</v>
      </c>
      <c r="EK1" s="1">
        <f t="shared" si="2"/>
        <v>114</v>
      </c>
      <c r="EL1" s="1">
        <f t="shared" ref="EL1:GE1" si="3">+EK1+1</f>
        <v>115</v>
      </c>
      <c r="EM1" s="1">
        <f t="shared" si="3"/>
        <v>116</v>
      </c>
      <c r="EN1" s="1">
        <f t="shared" si="3"/>
        <v>117</v>
      </c>
      <c r="EO1" s="1">
        <f t="shared" si="3"/>
        <v>118</v>
      </c>
      <c r="EP1" s="1">
        <f t="shared" si="3"/>
        <v>119</v>
      </c>
      <c r="EQ1" s="1">
        <f t="shared" si="3"/>
        <v>120</v>
      </c>
      <c r="ER1" s="1">
        <f t="shared" si="3"/>
        <v>121</v>
      </c>
      <c r="ES1" s="1">
        <f t="shared" si="3"/>
        <v>122</v>
      </c>
      <c r="ET1" s="1">
        <f t="shared" si="3"/>
        <v>123</v>
      </c>
      <c r="EU1" s="1">
        <f t="shared" si="3"/>
        <v>124</v>
      </c>
      <c r="EV1" s="1">
        <f t="shared" si="3"/>
        <v>125</v>
      </c>
      <c r="EW1" s="1">
        <f t="shared" si="3"/>
        <v>126</v>
      </c>
      <c r="EX1" s="1">
        <f t="shared" si="3"/>
        <v>127</v>
      </c>
      <c r="EY1" s="1">
        <f t="shared" si="3"/>
        <v>128</v>
      </c>
      <c r="EZ1" s="1">
        <f t="shared" si="3"/>
        <v>129</v>
      </c>
      <c r="FA1" s="1">
        <f t="shared" si="3"/>
        <v>130</v>
      </c>
      <c r="FB1" s="1">
        <f t="shared" si="3"/>
        <v>131</v>
      </c>
      <c r="FC1" s="1">
        <f t="shared" si="3"/>
        <v>132</v>
      </c>
      <c r="FD1" s="1">
        <f t="shared" si="3"/>
        <v>133</v>
      </c>
      <c r="FE1" s="1">
        <f t="shared" si="3"/>
        <v>134</v>
      </c>
      <c r="FF1" s="1">
        <f t="shared" si="3"/>
        <v>135</v>
      </c>
      <c r="FG1" s="1">
        <f t="shared" si="3"/>
        <v>136</v>
      </c>
      <c r="FH1" s="1">
        <f t="shared" si="3"/>
        <v>137</v>
      </c>
      <c r="FI1" s="1">
        <f t="shared" si="3"/>
        <v>138</v>
      </c>
      <c r="FJ1" s="1">
        <f t="shared" si="3"/>
        <v>139</v>
      </c>
      <c r="FK1" s="1">
        <f t="shared" si="3"/>
        <v>140</v>
      </c>
      <c r="FL1" s="1">
        <f t="shared" si="3"/>
        <v>141</v>
      </c>
      <c r="FM1" s="1">
        <f t="shared" si="3"/>
        <v>142</v>
      </c>
      <c r="FN1" s="1">
        <f t="shared" si="3"/>
        <v>143</v>
      </c>
      <c r="FO1" s="1">
        <f t="shared" si="3"/>
        <v>144</v>
      </c>
      <c r="FP1" s="1">
        <f t="shared" si="3"/>
        <v>145</v>
      </c>
      <c r="FQ1" s="1">
        <f t="shared" si="3"/>
        <v>146</v>
      </c>
      <c r="FR1" s="1">
        <f t="shared" si="3"/>
        <v>147</v>
      </c>
      <c r="FS1" s="1">
        <f t="shared" si="3"/>
        <v>148</v>
      </c>
      <c r="FT1" s="1">
        <f t="shared" si="3"/>
        <v>149</v>
      </c>
      <c r="FU1" s="1">
        <f t="shared" si="3"/>
        <v>150</v>
      </c>
      <c r="FV1" s="1">
        <f t="shared" si="3"/>
        <v>151</v>
      </c>
      <c r="FW1" s="1">
        <f t="shared" si="3"/>
        <v>152</v>
      </c>
      <c r="FX1" s="1">
        <f t="shared" si="3"/>
        <v>153</v>
      </c>
      <c r="FY1" s="1">
        <f t="shared" si="3"/>
        <v>154</v>
      </c>
      <c r="FZ1" s="1">
        <f t="shared" si="3"/>
        <v>155</v>
      </c>
      <c r="GA1" s="1">
        <f t="shared" si="3"/>
        <v>156</v>
      </c>
      <c r="GB1" s="1">
        <f t="shared" si="3"/>
        <v>157</v>
      </c>
      <c r="GC1" s="1">
        <f t="shared" si="3"/>
        <v>158</v>
      </c>
      <c r="GD1" s="1">
        <f t="shared" si="3"/>
        <v>159</v>
      </c>
      <c r="GE1" s="1">
        <f t="shared" si="3"/>
        <v>160</v>
      </c>
      <c r="GF1" s="1">
        <f t="shared" ref="GF1:HE1" si="4">+GE1+1</f>
        <v>161</v>
      </c>
      <c r="GG1" s="1">
        <f t="shared" si="4"/>
        <v>162</v>
      </c>
      <c r="GH1" s="1">
        <f t="shared" si="4"/>
        <v>163</v>
      </c>
      <c r="GI1" s="1">
        <f t="shared" si="4"/>
        <v>164</v>
      </c>
      <c r="GJ1" s="1">
        <f t="shared" si="4"/>
        <v>165</v>
      </c>
      <c r="GK1" s="1">
        <f t="shared" si="4"/>
        <v>166</v>
      </c>
      <c r="GL1" s="1">
        <f t="shared" si="4"/>
        <v>167</v>
      </c>
      <c r="GM1" s="1">
        <f t="shared" si="4"/>
        <v>168</v>
      </c>
      <c r="GN1" s="1">
        <f t="shared" si="4"/>
        <v>169</v>
      </c>
      <c r="GO1" s="1">
        <f t="shared" si="4"/>
        <v>170</v>
      </c>
      <c r="GP1" s="1">
        <f t="shared" si="4"/>
        <v>171</v>
      </c>
      <c r="GQ1" s="1">
        <f t="shared" si="4"/>
        <v>172</v>
      </c>
      <c r="GR1" s="1">
        <f t="shared" si="4"/>
        <v>173</v>
      </c>
      <c r="GS1" s="1">
        <f t="shared" si="4"/>
        <v>174</v>
      </c>
      <c r="GT1" s="1">
        <f t="shared" si="4"/>
        <v>175</v>
      </c>
      <c r="GU1" s="1">
        <f t="shared" si="4"/>
        <v>176</v>
      </c>
      <c r="GV1" s="1">
        <f t="shared" si="4"/>
        <v>177</v>
      </c>
      <c r="GW1" s="1">
        <f t="shared" si="4"/>
        <v>178</v>
      </c>
      <c r="GX1" s="1">
        <f t="shared" si="4"/>
        <v>179</v>
      </c>
      <c r="GY1" s="1">
        <f t="shared" si="4"/>
        <v>180</v>
      </c>
      <c r="GZ1" s="1">
        <f t="shared" si="4"/>
        <v>181</v>
      </c>
      <c r="HA1" s="1">
        <f t="shared" si="4"/>
        <v>182</v>
      </c>
      <c r="HB1" s="1">
        <f t="shared" si="4"/>
        <v>183</v>
      </c>
      <c r="HC1" s="1">
        <f t="shared" si="4"/>
        <v>184</v>
      </c>
      <c r="HD1" s="1">
        <f t="shared" si="4"/>
        <v>185</v>
      </c>
      <c r="HE1" s="1">
        <f t="shared" si="4"/>
        <v>186</v>
      </c>
      <c r="HF1" s="1">
        <f t="shared" ref="HF1:HS1" si="5">+HE1+1</f>
        <v>187</v>
      </c>
      <c r="HG1" s="1">
        <f t="shared" si="5"/>
        <v>188</v>
      </c>
      <c r="HH1" s="1">
        <f t="shared" si="5"/>
        <v>189</v>
      </c>
      <c r="HI1" s="1">
        <f t="shared" si="5"/>
        <v>190</v>
      </c>
      <c r="HJ1" s="1">
        <f t="shared" si="5"/>
        <v>191</v>
      </c>
      <c r="HK1" s="1">
        <f t="shared" si="5"/>
        <v>192</v>
      </c>
      <c r="HL1" s="1">
        <f t="shared" si="5"/>
        <v>193</v>
      </c>
      <c r="HM1" s="1">
        <f t="shared" si="5"/>
        <v>194</v>
      </c>
      <c r="HN1" s="1">
        <f t="shared" si="5"/>
        <v>195</v>
      </c>
      <c r="HO1" s="1">
        <f t="shared" si="5"/>
        <v>196</v>
      </c>
      <c r="HP1" s="1">
        <f t="shared" si="5"/>
        <v>197</v>
      </c>
      <c r="HQ1" s="1">
        <f t="shared" si="5"/>
        <v>198</v>
      </c>
      <c r="HR1" s="1">
        <f t="shared" si="5"/>
        <v>199</v>
      </c>
      <c r="HS1" s="1">
        <f t="shared" si="5"/>
        <v>200</v>
      </c>
    </row>
    <row r="2" spans="2:227" s="9" customFormat="1" x14ac:dyDescent="0.2">
      <c r="C2" s="11"/>
      <c r="D2" s="11"/>
      <c r="E2" s="11"/>
      <c r="F2" s="11">
        <v>45592</v>
      </c>
      <c r="G2" s="11">
        <v>45683</v>
      </c>
      <c r="H2" s="11">
        <v>45774</v>
      </c>
      <c r="I2" s="11">
        <v>45865</v>
      </c>
      <c r="J2" s="11">
        <v>45956</v>
      </c>
    </row>
    <row r="3" spans="2:227" s="2" customFormat="1" x14ac:dyDescent="0.2"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6</v>
      </c>
      <c r="J3" s="12" t="s">
        <v>15</v>
      </c>
      <c r="K3" s="2" t="s">
        <v>50</v>
      </c>
      <c r="L3" s="2" t="s">
        <v>51</v>
      </c>
      <c r="M3" s="2" t="s">
        <v>52</v>
      </c>
      <c r="N3" s="2" t="s">
        <v>53</v>
      </c>
      <c r="Q3" s="2">
        <v>2015</v>
      </c>
      <c r="R3" s="2">
        <f>+Q3+1</f>
        <v>2016</v>
      </c>
      <c r="S3" s="2">
        <f t="shared" ref="S3:AK3" si="6">+R3+1</f>
        <v>2017</v>
      </c>
      <c r="T3" s="2">
        <f t="shared" si="6"/>
        <v>2018</v>
      </c>
      <c r="U3" s="2">
        <f t="shared" si="6"/>
        <v>2019</v>
      </c>
      <c r="V3" s="2">
        <f t="shared" si="6"/>
        <v>2020</v>
      </c>
      <c r="W3" s="2">
        <f t="shared" si="6"/>
        <v>2021</v>
      </c>
      <c r="X3" s="2">
        <f t="shared" si="6"/>
        <v>2022</v>
      </c>
      <c r="Y3" s="2">
        <f t="shared" si="6"/>
        <v>2023</v>
      </c>
      <c r="Z3" s="2">
        <f t="shared" si="6"/>
        <v>2024</v>
      </c>
      <c r="AA3" s="2">
        <f t="shared" si="6"/>
        <v>2025</v>
      </c>
      <c r="AB3" s="2">
        <f t="shared" si="6"/>
        <v>2026</v>
      </c>
      <c r="AC3" s="2">
        <f t="shared" si="6"/>
        <v>2027</v>
      </c>
      <c r="AD3" s="2">
        <f t="shared" si="6"/>
        <v>2028</v>
      </c>
      <c r="AE3" s="2">
        <f t="shared" si="6"/>
        <v>2029</v>
      </c>
      <c r="AF3" s="2">
        <f t="shared" si="6"/>
        <v>2030</v>
      </c>
      <c r="AG3" s="2">
        <f t="shared" si="6"/>
        <v>2031</v>
      </c>
      <c r="AH3" s="2">
        <f t="shared" si="6"/>
        <v>2032</v>
      </c>
      <c r="AI3" s="2">
        <f t="shared" si="6"/>
        <v>2033</v>
      </c>
      <c r="AJ3" s="2">
        <f t="shared" si="6"/>
        <v>2034</v>
      </c>
      <c r="AK3" s="2">
        <f t="shared" si="6"/>
        <v>2035</v>
      </c>
      <c r="AL3" s="2">
        <f t="shared" ref="AL3:CW3" si="7">+AK3+1</f>
        <v>2036</v>
      </c>
      <c r="AM3" s="2">
        <f t="shared" si="7"/>
        <v>2037</v>
      </c>
      <c r="AN3" s="2">
        <f t="shared" si="7"/>
        <v>2038</v>
      </c>
      <c r="AO3" s="2">
        <f t="shared" si="7"/>
        <v>2039</v>
      </c>
      <c r="AP3" s="2">
        <f t="shared" si="7"/>
        <v>2040</v>
      </c>
      <c r="AQ3" s="2">
        <f t="shared" si="7"/>
        <v>2041</v>
      </c>
      <c r="AR3" s="2">
        <f t="shared" si="7"/>
        <v>2042</v>
      </c>
      <c r="AS3" s="2">
        <f t="shared" si="7"/>
        <v>2043</v>
      </c>
      <c r="AT3" s="2">
        <f t="shared" si="7"/>
        <v>2044</v>
      </c>
      <c r="AU3" s="2">
        <f t="shared" si="7"/>
        <v>2045</v>
      </c>
      <c r="AV3" s="2">
        <f t="shared" si="7"/>
        <v>2046</v>
      </c>
      <c r="AW3" s="2">
        <f t="shared" si="7"/>
        <v>2047</v>
      </c>
      <c r="AX3" s="2">
        <f t="shared" si="7"/>
        <v>2048</v>
      </c>
      <c r="AY3" s="2">
        <f t="shared" si="7"/>
        <v>2049</v>
      </c>
      <c r="AZ3" s="2">
        <f t="shared" si="7"/>
        <v>2050</v>
      </c>
      <c r="BA3" s="2">
        <f t="shared" si="7"/>
        <v>2051</v>
      </c>
      <c r="BB3" s="2">
        <f t="shared" si="7"/>
        <v>2052</v>
      </c>
      <c r="BC3" s="2">
        <f t="shared" si="7"/>
        <v>2053</v>
      </c>
      <c r="BD3" s="2">
        <f t="shared" si="7"/>
        <v>2054</v>
      </c>
      <c r="BE3" s="2">
        <f t="shared" si="7"/>
        <v>2055</v>
      </c>
      <c r="BF3" s="2">
        <f t="shared" si="7"/>
        <v>2056</v>
      </c>
      <c r="BG3" s="2">
        <f t="shared" si="7"/>
        <v>2057</v>
      </c>
      <c r="BH3" s="2">
        <f t="shared" si="7"/>
        <v>2058</v>
      </c>
      <c r="BI3" s="2">
        <f t="shared" si="7"/>
        <v>2059</v>
      </c>
      <c r="BJ3" s="2">
        <f t="shared" si="7"/>
        <v>2060</v>
      </c>
      <c r="BK3" s="2">
        <f t="shared" si="7"/>
        <v>2061</v>
      </c>
      <c r="BL3" s="2">
        <f t="shared" si="7"/>
        <v>2062</v>
      </c>
      <c r="BM3" s="2">
        <f t="shared" si="7"/>
        <v>2063</v>
      </c>
      <c r="BN3" s="2">
        <f t="shared" si="7"/>
        <v>2064</v>
      </c>
      <c r="BO3" s="2">
        <f t="shared" si="7"/>
        <v>2065</v>
      </c>
      <c r="BP3" s="2">
        <f t="shared" si="7"/>
        <v>2066</v>
      </c>
      <c r="BQ3" s="2">
        <f t="shared" si="7"/>
        <v>2067</v>
      </c>
      <c r="BR3" s="2">
        <f t="shared" si="7"/>
        <v>2068</v>
      </c>
      <c r="BS3" s="2">
        <f t="shared" si="7"/>
        <v>2069</v>
      </c>
      <c r="BT3" s="2">
        <f t="shared" si="7"/>
        <v>2070</v>
      </c>
      <c r="BU3" s="2">
        <f t="shared" si="7"/>
        <v>2071</v>
      </c>
      <c r="BV3" s="2">
        <f t="shared" si="7"/>
        <v>2072</v>
      </c>
      <c r="BW3" s="2">
        <f t="shared" si="7"/>
        <v>2073</v>
      </c>
      <c r="BX3" s="2">
        <f t="shared" si="7"/>
        <v>2074</v>
      </c>
      <c r="BY3" s="2">
        <f t="shared" si="7"/>
        <v>2075</v>
      </c>
      <c r="BZ3" s="2">
        <f t="shared" si="7"/>
        <v>2076</v>
      </c>
      <c r="CA3" s="2">
        <f t="shared" si="7"/>
        <v>2077</v>
      </c>
      <c r="CB3" s="2">
        <f t="shared" si="7"/>
        <v>2078</v>
      </c>
      <c r="CC3" s="2">
        <f t="shared" si="7"/>
        <v>2079</v>
      </c>
      <c r="CD3" s="2">
        <f t="shared" si="7"/>
        <v>2080</v>
      </c>
      <c r="CE3" s="2">
        <f t="shared" si="7"/>
        <v>2081</v>
      </c>
      <c r="CF3" s="2">
        <f t="shared" si="7"/>
        <v>2082</v>
      </c>
      <c r="CG3" s="2">
        <f t="shared" si="7"/>
        <v>2083</v>
      </c>
      <c r="CH3" s="2">
        <f t="shared" si="7"/>
        <v>2084</v>
      </c>
      <c r="CI3" s="2">
        <f t="shared" si="7"/>
        <v>2085</v>
      </c>
      <c r="CJ3" s="2">
        <f t="shared" si="7"/>
        <v>2086</v>
      </c>
      <c r="CK3" s="2">
        <f t="shared" si="7"/>
        <v>2087</v>
      </c>
      <c r="CL3" s="2">
        <f t="shared" si="7"/>
        <v>2088</v>
      </c>
      <c r="CM3" s="2">
        <f t="shared" si="7"/>
        <v>2089</v>
      </c>
      <c r="CN3" s="2">
        <f t="shared" si="7"/>
        <v>2090</v>
      </c>
      <c r="CO3" s="2">
        <f t="shared" si="7"/>
        <v>2091</v>
      </c>
      <c r="CP3" s="2">
        <f t="shared" si="7"/>
        <v>2092</v>
      </c>
      <c r="CQ3" s="2">
        <f t="shared" si="7"/>
        <v>2093</v>
      </c>
      <c r="CR3" s="2">
        <f t="shared" si="7"/>
        <v>2094</v>
      </c>
      <c r="CS3" s="2">
        <f t="shared" si="7"/>
        <v>2095</v>
      </c>
      <c r="CT3" s="2">
        <f t="shared" si="7"/>
        <v>2096</v>
      </c>
      <c r="CU3" s="2">
        <f t="shared" si="7"/>
        <v>2097</v>
      </c>
      <c r="CV3" s="2">
        <f t="shared" si="7"/>
        <v>2098</v>
      </c>
      <c r="CW3" s="2">
        <f t="shared" si="7"/>
        <v>2099</v>
      </c>
      <c r="CX3" s="2">
        <f t="shared" ref="CX3:EK3" si="8">+CW3+1</f>
        <v>2100</v>
      </c>
      <c r="CY3" s="2">
        <f t="shared" si="8"/>
        <v>2101</v>
      </c>
      <c r="CZ3" s="2">
        <f t="shared" si="8"/>
        <v>2102</v>
      </c>
      <c r="DA3" s="2">
        <f t="shared" si="8"/>
        <v>2103</v>
      </c>
      <c r="DB3" s="2">
        <f t="shared" si="8"/>
        <v>2104</v>
      </c>
      <c r="DC3" s="2">
        <f t="shared" si="8"/>
        <v>2105</v>
      </c>
      <c r="DD3" s="2">
        <f t="shared" si="8"/>
        <v>2106</v>
      </c>
      <c r="DE3" s="2">
        <f t="shared" si="8"/>
        <v>2107</v>
      </c>
      <c r="DF3" s="2">
        <f t="shared" si="8"/>
        <v>2108</v>
      </c>
      <c r="DG3" s="2">
        <f t="shared" si="8"/>
        <v>2109</v>
      </c>
      <c r="DH3" s="2">
        <f t="shared" si="8"/>
        <v>2110</v>
      </c>
      <c r="DI3" s="2">
        <f t="shared" si="8"/>
        <v>2111</v>
      </c>
      <c r="DJ3" s="2">
        <f t="shared" si="8"/>
        <v>2112</v>
      </c>
      <c r="DK3" s="2">
        <f t="shared" si="8"/>
        <v>2113</v>
      </c>
      <c r="DL3" s="2">
        <f t="shared" si="8"/>
        <v>2114</v>
      </c>
      <c r="DM3" s="2">
        <f t="shared" si="8"/>
        <v>2115</v>
      </c>
      <c r="DN3" s="2">
        <f t="shared" si="8"/>
        <v>2116</v>
      </c>
      <c r="DO3" s="2">
        <f t="shared" si="8"/>
        <v>2117</v>
      </c>
      <c r="DP3" s="2">
        <f t="shared" si="8"/>
        <v>2118</v>
      </c>
      <c r="DQ3" s="2">
        <f t="shared" si="8"/>
        <v>2119</v>
      </c>
      <c r="DR3" s="2">
        <f t="shared" si="8"/>
        <v>2120</v>
      </c>
      <c r="DS3" s="2">
        <f t="shared" si="8"/>
        <v>2121</v>
      </c>
      <c r="DT3" s="2">
        <f t="shared" si="8"/>
        <v>2122</v>
      </c>
      <c r="DU3" s="2">
        <f t="shared" si="8"/>
        <v>2123</v>
      </c>
      <c r="DV3" s="2">
        <f t="shared" si="8"/>
        <v>2124</v>
      </c>
      <c r="DW3" s="2">
        <f t="shared" si="8"/>
        <v>2125</v>
      </c>
      <c r="DX3" s="2">
        <f t="shared" si="8"/>
        <v>2126</v>
      </c>
      <c r="DY3" s="2">
        <f t="shared" si="8"/>
        <v>2127</v>
      </c>
      <c r="DZ3" s="2">
        <f t="shared" si="8"/>
        <v>2128</v>
      </c>
      <c r="EA3" s="2">
        <f t="shared" si="8"/>
        <v>2129</v>
      </c>
      <c r="EB3" s="2">
        <f t="shared" si="8"/>
        <v>2130</v>
      </c>
      <c r="EC3" s="2">
        <f t="shared" si="8"/>
        <v>2131</v>
      </c>
      <c r="ED3" s="2">
        <f t="shared" si="8"/>
        <v>2132</v>
      </c>
      <c r="EE3" s="2">
        <f t="shared" si="8"/>
        <v>2133</v>
      </c>
      <c r="EF3" s="2">
        <f t="shared" si="8"/>
        <v>2134</v>
      </c>
      <c r="EG3" s="2">
        <f t="shared" si="8"/>
        <v>2135</v>
      </c>
      <c r="EH3" s="2">
        <f t="shared" si="8"/>
        <v>2136</v>
      </c>
      <c r="EI3" s="2">
        <f t="shared" si="8"/>
        <v>2137</v>
      </c>
      <c r="EJ3" s="2">
        <f t="shared" si="8"/>
        <v>2138</v>
      </c>
      <c r="EK3" s="2">
        <f t="shared" si="8"/>
        <v>2139</v>
      </c>
      <c r="EL3" s="2">
        <f t="shared" ref="EL3:GE3" si="9">+EK3+1</f>
        <v>2140</v>
      </c>
      <c r="EM3" s="2">
        <f t="shared" si="9"/>
        <v>2141</v>
      </c>
      <c r="EN3" s="2">
        <f t="shared" si="9"/>
        <v>2142</v>
      </c>
      <c r="EO3" s="2">
        <f t="shared" si="9"/>
        <v>2143</v>
      </c>
      <c r="EP3" s="2">
        <f t="shared" si="9"/>
        <v>2144</v>
      </c>
      <c r="EQ3" s="2">
        <f t="shared" si="9"/>
        <v>2145</v>
      </c>
      <c r="ER3" s="2">
        <f t="shared" si="9"/>
        <v>2146</v>
      </c>
      <c r="ES3" s="2">
        <f t="shared" si="9"/>
        <v>2147</v>
      </c>
      <c r="ET3" s="2">
        <f t="shared" si="9"/>
        <v>2148</v>
      </c>
      <c r="EU3" s="2">
        <f t="shared" si="9"/>
        <v>2149</v>
      </c>
      <c r="EV3" s="2">
        <f t="shared" si="9"/>
        <v>2150</v>
      </c>
      <c r="EW3" s="2">
        <f t="shared" si="9"/>
        <v>2151</v>
      </c>
      <c r="EX3" s="2">
        <f t="shared" si="9"/>
        <v>2152</v>
      </c>
      <c r="EY3" s="2">
        <f t="shared" si="9"/>
        <v>2153</v>
      </c>
      <c r="EZ3" s="2">
        <f t="shared" si="9"/>
        <v>2154</v>
      </c>
      <c r="FA3" s="2">
        <f t="shared" si="9"/>
        <v>2155</v>
      </c>
      <c r="FB3" s="2">
        <f t="shared" si="9"/>
        <v>2156</v>
      </c>
      <c r="FC3" s="2">
        <f t="shared" si="9"/>
        <v>2157</v>
      </c>
      <c r="FD3" s="2">
        <f t="shared" si="9"/>
        <v>2158</v>
      </c>
      <c r="FE3" s="2">
        <f t="shared" si="9"/>
        <v>2159</v>
      </c>
      <c r="FF3" s="2">
        <f t="shared" si="9"/>
        <v>2160</v>
      </c>
      <c r="FG3" s="2">
        <f t="shared" si="9"/>
        <v>2161</v>
      </c>
      <c r="FH3" s="2">
        <f t="shared" si="9"/>
        <v>2162</v>
      </c>
      <c r="FI3" s="2">
        <f t="shared" si="9"/>
        <v>2163</v>
      </c>
      <c r="FJ3" s="2">
        <f t="shared" si="9"/>
        <v>2164</v>
      </c>
      <c r="FK3" s="2">
        <f t="shared" si="9"/>
        <v>2165</v>
      </c>
      <c r="FL3" s="2">
        <f t="shared" si="9"/>
        <v>2166</v>
      </c>
      <c r="FM3" s="2">
        <f t="shared" si="9"/>
        <v>2167</v>
      </c>
      <c r="FN3" s="2">
        <f t="shared" si="9"/>
        <v>2168</v>
      </c>
      <c r="FO3" s="2">
        <f t="shared" si="9"/>
        <v>2169</v>
      </c>
      <c r="FP3" s="2">
        <f t="shared" si="9"/>
        <v>2170</v>
      </c>
      <c r="FQ3" s="2">
        <f t="shared" si="9"/>
        <v>2171</v>
      </c>
      <c r="FR3" s="2">
        <f t="shared" si="9"/>
        <v>2172</v>
      </c>
      <c r="FS3" s="2">
        <f t="shared" si="9"/>
        <v>2173</v>
      </c>
      <c r="FT3" s="2">
        <f t="shared" si="9"/>
        <v>2174</v>
      </c>
      <c r="FU3" s="2">
        <f t="shared" si="9"/>
        <v>2175</v>
      </c>
      <c r="FV3" s="2">
        <f t="shared" si="9"/>
        <v>2176</v>
      </c>
      <c r="FW3" s="2">
        <f t="shared" si="9"/>
        <v>2177</v>
      </c>
      <c r="FX3" s="2">
        <f t="shared" si="9"/>
        <v>2178</v>
      </c>
      <c r="FY3" s="2">
        <f t="shared" si="9"/>
        <v>2179</v>
      </c>
      <c r="FZ3" s="2">
        <f t="shared" si="9"/>
        <v>2180</v>
      </c>
      <c r="GA3" s="2">
        <f t="shared" si="9"/>
        <v>2181</v>
      </c>
      <c r="GB3" s="2">
        <f t="shared" si="9"/>
        <v>2182</v>
      </c>
      <c r="GC3" s="2">
        <f t="shared" si="9"/>
        <v>2183</v>
      </c>
      <c r="GD3" s="2">
        <f t="shared" si="9"/>
        <v>2184</v>
      </c>
      <c r="GE3" s="2">
        <f t="shared" si="9"/>
        <v>2185</v>
      </c>
      <c r="GF3" s="2">
        <f t="shared" ref="GF3:HE3" si="10">+GE3+1</f>
        <v>2186</v>
      </c>
      <c r="GG3" s="2">
        <f t="shared" si="10"/>
        <v>2187</v>
      </c>
      <c r="GH3" s="2">
        <f t="shared" si="10"/>
        <v>2188</v>
      </c>
      <c r="GI3" s="2">
        <f t="shared" si="10"/>
        <v>2189</v>
      </c>
      <c r="GJ3" s="2">
        <f t="shared" si="10"/>
        <v>2190</v>
      </c>
      <c r="GK3" s="2">
        <f t="shared" si="10"/>
        <v>2191</v>
      </c>
      <c r="GL3" s="2">
        <f t="shared" si="10"/>
        <v>2192</v>
      </c>
      <c r="GM3" s="2">
        <f t="shared" si="10"/>
        <v>2193</v>
      </c>
      <c r="GN3" s="2">
        <f t="shared" si="10"/>
        <v>2194</v>
      </c>
      <c r="GO3" s="2">
        <f t="shared" si="10"/>
        <v>2195</v>
      </c>
      <c r="GP3" s="2">
        <f t="shared" si="10"/>
        <v>2196</v>
      </c>
      <c r="GQ3" s="2">
        <f t="shared" si="10"/>
        <v>2197</v>
      </c>
      <c r="GR3" s="2">
        <f t="shared" si="10"/>
        <v>2198</v>
      </c>
      <c r="GS3" s="2">
        <f t="shared" si="10"/>
        <v>2199</v>
      </c>
      <c r="GT3" s="2">
        <f t="shared" si="10"/>
        <v>2200</v>
      </c>
      <c r="GU3" s="2">
        <f t="shared" si="10"/>
        <v>2201</v>
      </c>
      <c r="GV3" s="2">
        <f t="shared" si="10"/>
        <v>2202</v>
      </c>
      <c r="GW3" s="2">
        <f t="shared" si="10"/>
        <v>2203</v>
      </c>
      <c r="GX3" s="2">
        <f t="shared" si="10"/>
        <v>2204</v>
      </c>
      <c r="GY3" s="2">
        <f t="shared" si="10"/>
        <v>2205</v>
      </c>
      <c r="GZ3" s="2">
        <f t="shared" si="10"/>
        <v>2206</v>
      </c>
      <c r="HA3" s="2">
        <f t="shared" si="10"/>
        <v>2207</v>
      </c>
      <c r="HB3" s="2">
        <f t="shared" si="10"/>
        <v>2208</v>
      </c>
      <c r="HC3" s="2">
        <f t="shared" si="10"/>
        <v>2209</v>
      </c>
      <c r="HD3" s="2">
        <f t="shared" si="10"/>
        <v>2210</v>
      </c>
      <c r="HE3" s="2">
        <f t="shared" si="10"/>
        <v>2211</v>
      </c>
      <c r="HF3" s="2">
        <f t="shared" ref="HF3:HS3" si="11">+HE3+1</f>
        <v>2212</v>
      </c>
      <c r="HG3" s="2">
        <f t="shared" si="11"/>
        <v>2213</v>
      </c>
      <c r="HH3" s="2">
        <f t="shared" si="11"/>
        <v>2214</v>
      </c>
      <c r="HI3" s="2">
        <f t="shared" si="11"/>
        <v>2215</v>
      </c>
      <c r="HJ3" s="2">
        <f t="shared" si="11"/>
        <v>2216</v>
      </c>
      <c r="HK3" s="2">
        <f t="shared" si="11"/>
        <v>2217</v>
      </c>
      <c r="HL3" s="2">
        <f t="shared" si="11"/>
        <v>2218</v>
      </c>
      <c r="HM3" s="2">
        <f t="shared" si="11"/>
        <v>2219</v>
      </c>
      <c r="HN3" s="2">
        <f t="shared" si="11"/>
        <v>2220</v>
      </c>
      <c r="HO3" s="2">
        <f t="shared" si="11"/>
        <v>2221</v>
      </c>
      <c r="HP3" s="2">
        <f t="shared" si="11"/>
        <v>2222</v>
      </c>
      <c r="HQ3" s="2">
        <f t="shared" si="11"/>
        <v>2223</v>
      </c>
      <c r="HR3" s="2">
        <f t="shared" si="11"/>
        <v>2224</v>
      </c>
      <c r="HS3" s="2">
        <f t="shared" si="11"/>
        <v>2225</v>
      </c>
    </row>
    <row r="4" spans="2:227" s="4" customFormat="1" x14ac:dyDescent="0.2">
      <c r="B4" s="4" t="s">
        <v>16</v>
      </c>
      <c r="C4" s="13"/>
      <c r="D4" s="13"/>
      <c r="E4" s="13"/>
      <c r="F4" s="13"/>
      <c r="G4" s="13"/>
      <c r="H4" s="13"/>
      <c r="I4" s="13"/>
      <c r="J4" s="13"/>
      <c r="W4" s="4">
        <v>0.2</v>
      </c>
      <c r="X4" s="4">
        <v>0.21</v>
      </c>
      <c r="Y4" s="4">
        <v>0.15</v>
      </c>
      <c r="Z4" s="4">
        <v>0.12</v>
      </c>
    </row>
    <row r="5" spans="2:227" s="4" customFormat="1" x14ac:dyDescent="0.2">
      <c r="B5" s="4" t="s">
        <v>17</v>
      </c>
      <c r="C5" s="13"/>
      <c r="D5" s="13"/>
      <c r="E5" s="13"/>
      <c r="F5" s="13"/>
      <c r="G5" s="13"/>
      <c r="H5" s="13"/>
      <c r="I5" s="13"/>
      <c r="J5" s="13"/>
      <c r="W5" s="4">
        <v>0.15</v>
      </c>
      <c r="X5" s="4">
        <v>0.2</v>
      </c>
      <c r="Y5" s="4">
        <v>0.19</v>
      </c>
      <c r="Z5" s="4">
        <v>0.11</v>
      </c>
    </row>
    <row r="6" spans="2:227" s="4" customFormat="1" x14ac:dyDescent="0.2">
      <c r="B6" s="4" t="s">
        <v>49</v>
      </c>
      <c r="C6" s="13"/>
      <c r="D6" s="13"/>
      <c r="E6" s="13"/>
      <c r="F6" s="13"/>
      <c r="G6" s="13"/>
      <c r="H6" s="13"/>
      <c r="I6" s="13"/>
      <c r="J6" s="13"/>
      <c r="X6" s="4">
        <v>0.1</v>
      </c>
    </row>
    <row r="7" spans="2:227" s="4" customFormat="1" x14ac:dyDescent="0.2">
      <c r="C7" s="13"/>
      <c r="D7" s="13"/>
      <c r="E7" s="13"/>
      <c r="F7" s="13"/>
      <c r="G7" s="13"/>
      <c r="H7" s="13"/>
      <c r="I7" s="13"/>
      <c r="J7" s="13"/>
    </row>
    <row r="8" spans="2:227" x14ac:dyDescent="0.2">
      <c r="B8" s="1" t="s">
        <v>38</v>
      </c>
      <c r="C8" s="10">
        <v>2997</v>
      </c>
      <c r="D8" s="10">
        <v>2831</v>
      </c>
      <c r="E8" s="10">
        <v>2153</v>
      </c>
      <c r="F8" s="10">
        <f>+Z8-SUM(C8:E8)</f>
        <v>2136</v>
      </c>
      <c r="G8" s="10">
        <v>2243</v>
      </c>
      <c r="H8" s="10">
        <v>1774</v>
      </c>
      <c r="I8" s="10">
        <v>2548</v>
      </c>
      <c r="J8" s="10">
        <v>1964</v>
      </c>
      <c r="W8" s="1">
        <v>7535</v>
      </c>
      <c r="X8" s="1">
        <v>7254</v>
      </c>
      <c r="Y8" s="1">
        <v>7247</v>
      </c>
      <c r="Z8" s="1">
        <v>10117</v>
      </c>
    </row>
    <row r="9" spans="2:227" x14ac:dyDescent="0.2">
      <c r="B9" s="1" t="s">
        <v>39</v>
      </c>
      <c r="C9" s="10">
        <v>1231</v>
      </c>
      <c r="D9" s="10">
        <v>988</v>
      </c>
      <c r="E9" s="10">
        <v>1102</v>
      </c>
      <c r="F9" s="10">
        <f>+Z9-SUM(C9:E9)</f>
        <v>1172</v>
      </c>
      <c r="G9" s="10">
        <v>1667</v>
      </c>
      <c r="H9" s="10">
        <v>1562</v>
      </c>
      <c r="I9" s="10">
        <v>1160</v>
      </c>
      <c r="J9" s="10">
        <v>1219</v>
      </c>
      <c r="W9" s="1">
        <v>5012</v>
      </c>
      <c r="X9" s="1">
        <v>4395</v>
      </c>
      <c r="Y9" s="1">
        <v>4609</v>
      </c>
      <c r="Z9" s="1">
        <v>4493</v>
      </c>
    </row>
    <row r="10" spans="2:227" x14ac:dyDescent="0.2">
      <c r="B10" s="1" t="s">
        <v>40</v>
      </c>
      <c r="C10" s="10">
        <v>559</v>
      </c>
      <c r="D10" s="10">
        <v>1019</v>
      </c>
      <c r="E10" s="10">
        <v>1148</v>
      </c>
      <c r="F10" s="10">
        <f>+Z10-SUM(C10:E10)</f>
        <v>1284</v>
      </c>
      <c r="G10" s="10">
        <v>1183</v>
      </c>
      <c r="H10" s="10">
        <v>1997</v>
      </c>
      <c r="I10" s="10">
        <v>1843</v>
      </c>
      <c r="J10" s="10">
        <v>1834</v>
      </c>
      <c r="W10" s="1">
        <v>4742</v>
      </c>
      <c r="X10" s="1">
        <v>6262</v>
      </c>
      <c r="Y10" s="1">
        <v>5670</v>
      </c>
      <c r="Z10" s="1">
        <v>4010</v>
      </c>
    </row>
    <row r="11" spans="2:227" x14ac:dyDescent="0.2">
      <c r="B11" s="1" t="s">
        <v>41</v>
      </c>
      <c r="C11" s="10">
        <v>565</v>
      </c>
      <c r="D11" s="10">
        <v>453</v>
      </c>
      <c r="E11" s="10">
        <v>555</v>
      </c>
      <c r="F11" s="10">
        <f>+Z11-SUM(C11:E11)</f>
        <v>581</v>
      </c>
      <c r="G11" s="10">
        <v>540</v>
      </c>
      <c r="H11" s="10">
        <v>572</v>
      </c>
      <c r="I11" s="10">
        <v>713</v>
      </c>
      <c r="J11" s="10">
        <v>448</v>
      </c>
      <c r="W11" s="1">
        <v>1962</v>
      </c>
      <c r="X11" s="1">
        <v>2012</v>
      </c>
      <c r="Y11" s="1">
        <v>2075</v>
      </c>
      <c r="Z11" s="1">
        <v>2154</v>
      </c>
    </row>
    <row r="12" spans="2:227" x14ac:dyDescent="0.2">
      <c r="B12" s="1" t="s">
        <v>42</v>
      </c>
      <c r="C12" s="10">
        <v>186</v>
      </c>
      <c r="D12" s="10">
        <v>213</v>
      </c>
      <c r="E12" s="10">
        <v>428</v>
      </c>
      <c r="F12" s="10">
        <f>+Z12-SUM(C12:E12)</f>
        <v>314</v>
      </c>
      <c r="G12" s="10">
        <v>283</v>
      </c>
      <c r="H12" s="10">
        <v>135</v>
      </c>
      <c r="I12" s="10">
        <v>195</v>
      </c>
      <c r="J12" s="10">
        <v>460</v>
      </c>
      <c r="W12" s="1">
        <v>677</v>
      </c>
      <c r="X12" s="1">
        <v>1084</v>
      </c>
      <c r="Y12" s="1">
        <v>758</v>
      </c>
      <c r="Z12" s="1">
        <v>1141</v>
      </c>
    </row>
    <row r="13" spans="2:227" x14ac:dyDescent="0.2">
      <c r="B13" s="6" t="s">
        <v>43</v>
      </c>
      <c r="C13" s="14">
        <f t="shared" ref="C13:G13" si="12">+SUM(C8:C12)</f>
        <v>5538</v>
      </c>
      <c r="D13" s="14">
        <f t="shared" si="12"/>
        <v>5504</v>
      </c>
      <c r="E13" s="14">
        <f t="shared" si="12"/>
        <v>5386</v>
      </c>
      <c r="F13" s="14">
        <f t="shared" si="12"/>
        <v>5487</v>
      </c>
      <c r="G13" s="14">
        <f t="shared" si="12"/>
        <v>5916</v>
      </c>
      <c r="H13" s="14">
        <f>+SUM(H8:H12)</f>
        <v>6040</v>
      </c>
      <c r="I13" s="14">
        <f>+SUM(I8:I12)</f>
        <v>6459</v>
      </c>
      <c r="J13" s="14">
        <f>+SUM(J8:J12)</f>
        <v>5925</v>
      </c>
      <c r="W13" s="6">
        <f>+SUM(W8:W12)</f>
        <v>19928</v>
      </c>
      <c r="X13" s="6">
        <f>+SUM(X8:X12)</f>
        <v>21007</v>
      </c>
      <c r="Y13" s="6">
        <f>+SUM(Y8:Y12)</f>
        <v>20359</v>
      </c>
      <c r="Z13" s="6">
        <f>+SUM(Z8:Z12)</f>
        <v>21915</v>
      </c>
    </row>
    <row r="14" spans="2:227" x14ac:dyDescent="0.2">
      <c r="B14" s="1" t="s">
        <v>44</v>
      </c>
      <c r="C14" s="10">
        <v>759</v>
      </c>
      <c r="D14" s="10">
        <v>853</v>
      </c>
      <c r="E14" s="10">
        <v>1053</v>
      </c>
      <c r="F14" s="10">
        <f>+Z14-SUM(C14:E14)</f>
        <v>1153</v>
      </c>
      <c r="G14" s="10">
        <v>917</v>
      </c>
      <c r="H14" s="10">
        <v>808</v>
      </c>
      <c r="I14" s="10">
        <v>683</v>
      </c>
      <c r="J14" s="10">
        <v>655</v>
      </c>
      <c r="W14" s="1">
        <v>2038</v>
      </c>
      <c r="X14" s="1">
        <v>3104</v>
      </c>
      <c r="Y14" s="1">
        <v>4006</v>
      </c>
      <c r="Z14" s="1">
        <v>3818</v>
      </c>
    </row>
    <row r="15" spans="2:227" x14ac:dyDescent="0.2">
      <c r="B15" s="1" t="s">
        <v>45</v>
      </c>
      <c r="C15" s="10">
        <v>410</v>
      </c>
      <c r="D15" s="10">
        <v>289</v>
      </c>
      <c r="E15" s="10">
        <v>339</v>
      </c>
      <c r="F15" s="10">
        <f>+Z15-SUM(C15:E15)</f>
        <v>405</v>
      </c>
      <c r="G15" s="10">
        <v>330</v>
      </c>
      <c r="H15" s="10">
        <v>252</v>
      </c>
      <c r="I15" s="10">
        <v>160</v>
      </c>
      <c r="J15" s="10">
        <v>220</v>
      </c>
      <c r="W15" s="1">
        <v>1097</v>
      </c>
      <c r="X15" s="1">
        <v>1674</v>
      </c>
      <c r="Y15" s="1">
        <v>2152</v>
      </c>
      <c r="Z15" s="1">
        <v>1443</v>
      </c>
    </row>
    <row r="17" spans="2:36" x14ac:dyDescent="0.2">
      <c r="B17" s="8" t="s">
        <v>46</v>
      </c>
      <c r="C17" s="13">
        <v>0.62</v>
      </c>
      <c r="D17" s="13">
        <v>0.65</v>
      </c>
      <c r="E17" s="13">
        <v>0.72</v>
      </c>
      <c r="F17" s="13">
        <v>0.73</v>
      </c>
      <c r="G17" s="13">
        <v>0.68</v>
      </c>
      <c r="H17" s="13">
        <v>0.65</v>
      </c>
      <c r="I17" s="13">
        <v>0.69</v>
      </c>
      <c r="J17" s="13">
        <v>0.65</v>
      </c>
      <c r="W17" s="4">
        <v>0.6</v>
      </c>
      <c r="X17" s="4">
        <v>0.66</v>
      </c>
      <c r="Y17" s="4">
        <v>0.77</v>
      </c>
      <c r="Z17" s="4">
        <v>0.68</v>
      </c>
      <c r="AA17" s="4">
        <v>0.67</v>
      </c>
    </row>
    <row r="18" spans="2:36" x14ac:dyDescent="0.2">
      <c r="B18" s="1" t="s">
        <v>47</v>
      </c>
      <c r="C18" s="13">
        <v>0.34</v>
      </c>
      <c r="D18" s="13">
        <v>0.32</v>
      </c>
      <c r="E18" s="13">
        <v>0.24</v>
      </c>
      <c r="F18" s="13">
        <v>0.23</v>
      </c>
      <c r="G18" s="13">
        <v>0.28000000000000003</v>
      </c>
      <c r="H18" s="13">
        <v>0.27</v>
      </c>
      <c r="I18" s="13">
        <v>0.22</v>
      </c>
      <c r="J18" s="13">
        <v>0.28999999999999998</v>
      </c>
      <c r="W18" s="4">
        <v>0.19</v>
      </c>
      <c r="X18" s="4">
        <v>0.19</v>
      </c>
      <c r="Y18" s="4">
        <v>0.17</v>
      </c>
      <c r="Z18" s="4">
        <v>0.28000000000000003</v>
      </c>
      <c r="AA18" s="4">
        <v>0.26</v>
      </c>
    </row>
    <row r="19" spans="2:36" x14ac:dyDescent="0.2">
      <c r="B19" s="1" t="s">
        <v>48</v>
      </c>
      <c r="C19" s="13">
        <v>0.04</v>
      </c>
      <c r="D19" s="13">
        <v>0.03</v>
      </c>
      <c r="E19" s="13">
        <v>0.04</v>
      </c>
      <c r="F19" s="13">
        <v>0.04</v>
      </c>
      <c r="G19" s="13">
        <v>0.04</v>
      </c>
      <c r="H19" s="13">
        <v>0.08</v>
      </c>
      <c r="I19" s="13">
        <v>0.09</v>
      </c>
      <c r="J19" s="13">
        <v>0.06</v>
      </c>
      <c r="W19" s="4">
        <v>0.21</v>
      </c>
      <c r="X19" s="4">
        <v>0.15</v>
      </c>
      <c r="Y19" s="4">
        <v>0.06</v>
      </c>
      <c r="Z19" s="4">
        <v>0.04</v>
      </c>
      <c r="AA19" s="4">
        <v>7.0000000000000007E-2</v>
      </c>
    </row>
    <row r="20" spans="2:36" x14ac:dyDescent="0.2">
      <c r="X20" s="4"/>
    </row>
    <row r="21" spans="2:36" x14ac:dyDescent="0.2">
      <c r="B21" s="1" t="s">
        <v>34</v>
      </c>
      <c r="C21" s="10">
        <v>4909</v>
      </c>
      <c r="D21" s="10">
        <v>4901</v>
      </c>
      <c r="E21" s="10">
        <v>4924</v>
      </c>
      <c r="F21" s="10">
        <f>+Z21-SUM(C21:E21)</f>
        <v>5177</v>
      </c>
      <c r="G21" s="10">
        <v>5356</v>
      </c>
      <c r="H21" s="10">
        <v>5255</v>
      </c>
      <c r="I21" s="10">
        <v>5427</v>
      </c>
      <c r="J21" s="10">
        <v>4760</v>
      </c>
      <c r="K21" s="1">
        <f>+K$25* (G21/G$25)</f>
        <v>5119.8157968183086</v>
      </c>
      <c r="W21" s="1">
        <v>16286</v>
      </c>
      <c r="X21" s="1">
        <v>18797</v>
      </c>
      <c r="Y21" s="1">
        <v>19698</v>
      </c>
      <c r="Z21" s="1">
        <v>19911</v>
      </c>
      <c r="AA21" s="1">
        <f>SUM(G21:J21)</f>
        <v>20798</v>
      </c>
    </row>
    <row r="22" spans="2:36" x14ac:dyDescent="0.2">
      <c r="B22" s="1" t="s">
        <v>35</v>
      </c>
      <c r="C22" s="10">
        <v>1476</v>
      </c>
      <c r="D22" s="10">
        <v>1530</v>
      </c>
      <c r="E22" s="10">
        <v>1580</v>
      </c>
      <c r="F22" s="10">
        <f>+Z22-SUM(C22:E22)</f>
        <v>1639</v>
      </c>
      <c r="G22" s="10">
        <v>1594</v>
      </c>
      <c r="H22" s="10">
        <v>1566</v>
      </c>
      <c r="I22" s="10">
        <v>1600</v>
      </c>
      <c r="J22" s="10">
        <v>1625</v>
      </c>
      <c r="K22" s="1">
        <f>+K$25* (G22/G$25)</f>
        <v>1523.7091822495115</v>
      </c>
      <c r="W22" s="1">
        <v>5013</v>
      </c>
      <c r="X22" s="1">
        <v>5543</v>
      </c>
      <c r="Y22" s="1">
        <v>5732</v>
      </c>
      <c r="Z22" s="1">
        <v>6225</v>
      </c>
      <c r="AA22" s="1">
        <f>SUM(G22:J22)</f>
        <v>6385</v>
      </c>
    </row>
    <row r="23" spans="2:36" x14ac:dyDescent="0.2">
      <c r="B23" s="1" t="s">
        <v>36</v>
      </c>
      <c r="C23" s="10">
        <v>244</v>
      </c>
      <c r="D23" s="10">
        <v>179</v>
      </c>
      <c r="E23" s="10">
        <v>251</v>
      </c>
      <c r="F23" s="10">
        <f>+Z23-SUM(C23:E23)</f>
        <v>211</v>
      </c>
      <c r="G23" s="10">
        <v>183</v>
      </c>
      <c r="H23" s="10">
        <v>259</v>
      </c>
      <c r="I23" s="10">
        <v>263</v>
      </c>
      <c r="K23" s="1">
        <f>+K$25* (G23/G$25)</f>
        <v>174.93022606754116</v>
      </c>
      <c r="W23" s="1">
        <v>1634</v>
      </c>
      <c r="X23" s="1">
        <v>1331</v>
      </c>
      <c r="Y23" s="1">
        <v>868</v>
      </c>
      <c r="Z23" s="1">
        <v>885</v>
      </c>
      <c r="AA23" s="1">
        <f>SUM(G23:J23)</f>
        <v>705</v>
      </c>
    </row>
    <row r="24" spans="2:36" x14ac:dyDescent="0.2">
      <c r="B24" s="1" t="s">
        <v>37</v>
      </c>
      <c r="C24" s="10">
        <v>78</v>
      </c>
      <c r="D24" s="10">
        <v>36</v>
      </c>
      <c r="E24" s="10">
        <v>23</v>
      </c>
      <c r="F24" s="10">
        <f>+Z24-SUM(C24:E24)</f>
        <v>18</v>
      </c>
      <c r="G24" s="10">
        <v>33</v>
      </c>
      <c r="H24" s="10">
        <v>20</v>
      </c>
      <c r="I24" s="10">
        <v>12</v>
      </c>
      <c r="K24" s="1">
        <f>+K$25* (G24/G$25)</f>
        <v>31.544794864638572</v>
      </c>
      <c r="W24" s="1">
        <v>130</v>
      </c>
      <c r="X24" s="1">
        <v>114</v>
      </c>
      <c r="Y24" s="1">
        <v>219</v>
      </c>
      <c r="Z24" s="1">
        <v>155</v>
      </c>
      <c r="AA24" s="1">
        <f>SUM(G24:J24)</f>
        <v>65</v>
      </c>
    </row>
    <row r="25" spans="2:36" s="6" customFormat="1" x14ac:dyDescent="0.2">
      <c r="B25" s="6" t="s">
        <v>18</v>
      </c>
      <c r="C25" s="14">
        <v>6707</v>
      </c>
      <c r="D25" s="14">
        <v>6646</v>
      </c>
      <c r="E25" s="14">
        <f>+SUM(E21:E24)</f>
        <v>6778</v>
      </c>
      <c r="F25" s="14">
        <f>+SUM(F21:F24)</f>
        <v>7045</v>
      </c>
      <c r="G25" s="14">
        <v>7166</v>
      </c>
      <c r="H25" s="14">
        <v>7100</v>
      </c>
      <c r="I25" s="14">
        <f>+SUM(I21:I24)</f>
        <v>7302</v>
      </c>
      <c r="J25" s="14">
        <v>6800</v>
      </c>
      <c r="K25" s="6">
        <f>AVERAGE(6850-500,6850+500)</f>
        <v>6850</v>
      </c>
      <c r="L25" s="6">
        <f>+H25*1.03</f>
        <v>7313</v>
      </c>
      <c r="M25" s="6">
        <f>+I25*1.08</f>
        <v>7886.1600000000008</v>
      </c>
      <c r="N25" s="6">
        <f>+J25*1.08</f>
        <v>7344.0000000000009</v>
      </c>
      <c r="W25" s="6">
        <v>23063</v>
      </c>
      <c r="X25" s="6">
        <v>25785</v>
      </c>
      <c r="Y25" s="6">
        <v>26517</v>
      </c>
      <c r="Z25" s="6">
        <v>27176</v>
      </c>
      <c r="AA25" s="1">
        <f>SUM(G25:J25)</f>
        <v>28368</v>
      </c>
      <c r="AB25" s="6">
        <f>SUM(K25:N25)</f>
        <v>29393.16</v>
      </c>
      <c r="AC25" s="6">
        <f>+AB25*1.04</f>
        <v>30568.886399999999</v>
      </c>
      <c r="AD25" s="6">
        <f t="shared" ref="AD25:AJ25" si="13">+AC25*1.04</f>
        <v>31791.641856000002</v>
      </c>
      <c r="AE25" s="6">
        <f t="shared" si="13"/>
        <v>33063.307530240003</v>
      </c>
      <c r="AF25" s="6">
        <f t="shared" si="13"/>
        <v>34385.839831449601</v>
      </c>
      <c r="AG25" s="6">
        <f t="shared" si="13"/>
        <v>35761.273424707586</v>
      </c>
      <c r="AH25" s="6">
        <f t="shared" si="13"/>
        <v>37191.724361695888</v>
      </c>
      <c r="AI25" s="6">
        <f t="shared" si="13"/>
        <v>38679.393336163725</v>
      </c>
      <c r="AJ25" s="6">
        <f t="shared" si="13"/>
        <v>40226.569069610276</v>
      </c>
    </row>
    <row r="26" spans="2:36" x14ac:dyDescent="0.2">
      <c r="B26" s="1" t="s">
        <v>3</v>
      </c>
      <c r="C26" s="10">
        <v>3503</v>
      </c>
      <c r="D26" s="10">
        <v>3493</v>
      </c>
      <c r="E26" s="10">
        <v>3573</v>
      </c>
      <c r="F26" s="10">
        <f>+Z26-SUM(C26:E26)</f>
        <v>3710</v>
      </c>
      <c r="G26" s="10">
        <v>3670</v>
      </c>
      <c r="H26" s="10">
        <v>3615</v>
      </c>
      <c r="I26" s="10">
        <v>3740</v>
      </c>
      <c r="J26" s="10">
        <v>3535</v>
      </c>
      <c r="K26" s="1">
        <f>+K$25*(G26/G$25)</f>
        <v>3508.1635500976836</v>
      </c>
      <c r="L26" s="1">
        <f>+L$25*(H26/H$25)</f>
        <v>3723.45</v>
      </c>
      <c r="M26" s="1">
        <f>+M$25*(I26/I$25)</f>
        <v>4039.2000000000007</v>
      </c>
      <c r="N26" s="1">
        <f>+N$25*(J26/J$25)</f>
        <v>3817.8000000000006</v>
      </c>
      <c r="W26" s="1">
        <v>12149</v>
      </c>
      <c r="X26" s="1">
        <v>13792</v>
      </c>
      <c r="Y26" s="1">
        <v>14133</v>
      </c>
      <c r="Z26" s="1">
        <v>14279</v>
      </c>
      <c r="AA26" s="1">
        <f>SUM(G26:J26)</f>
        <v>14560</v>
      </c>
      <c r="AB26" s="18">
        <f t="shared" ref="AB26:AB37" si="14">SUM(K26:N26)</f>
        <v>15088.613550097685</v>
      </c>
      <c r="AC26" s="1">
        <f>+AC$25*(AB26/AB$25)</f>
        <v>15692.158092101592</v>
      </c>
      <c r="AD26" s="1">
        <f t="shared" ref="AD26:AJ26" si="15">+AD$25*(AC26/AC$25)</f>
        <v>16319.844415785657</v>
      </c>
      <c r="AE26" s="1">
        <f t="shared" si="15"/>
        <v>16972.638192417086</v>
      </c>
      <c r="AF26" s="1">
        <f t="shared" si="15"/>
        <v>17651.543720113768</v>
      </c>
      <c r="AG26" s="1">
        <f t="shared" si="15"/>
        <v>18357.605468918318</v>
      </c>
      <c r="AH26" s="1">
        <f t="shared" si="15"/>
        <v>19091.909687675048</v>
      </c>
      <c r="AI26" s="1">
        <f t="shared" si="15"/>
        <v>19855.586075182051</v>
      </c>
      <c r="AJ26" s="1">
        <f t="shared" si="15"/>
        <v>20649.809518189337</v>
      </c>
    </row>
    <row r="27" spans="2:36" x14ac:dyDescent="0.2">
      <c r="B27" s="1" t="s">
        <v>19</v>
      </c>
      <c r="C27" s="10">
        <v>754</v>
      </c>
      <c r="D27" s="10">
        <v>785</v>
      </c>
      <c r="E27" s="10">
        <v>836</v>
      </c>
      <c r="F27" s="10">
        <f>+Z27-SUM(C27:E27)</f>
        <v>858</v>
      </c>
      <c r="G27" s="10">
        <v>859</v>
      </c>
      <c r="H27" s="10">
        <v>893</v>
      </c>
      <c r="I27" s="10">
        <v>901</v>
      </c>
      <c r="J27" s="10">
        <v>917</v>
      </c>
      <c r="K27" s="1">
        <f t="shared" ref="K27:N29" si="16">+K$25*(G27/G$25)</f>
        <v>821.12056935528881</v>
      </c>
      <c r="L27" s="1">
        <f t="shared" si="16"/>
        <v>919.79000000000008</v>
      </c>
      <c r="M27" s="1">
        <f t="shared" si="16"/>
        <v>973.08000000000015</v>
      </c>
      <c r="N27" s="1">
        <f t="shared" si="16"/>
        <v>990.36000000000013</v>
      </c>
      <c r="W27" s="1">
        <v>2485</v>
      </c>
      <c r="X27" s="1">
        <v>2771</v>
      </c>
      <c r="Y27" s="1">
        <v>3102</v>
      </c>
      <c r="Z27" s="1">
        <v>3233</v>
      </c>
      <c r="AA27" s="1">
        <f>SUM(G27:J27)</f>
        <v>3570</v>
      </c>
      <c r="AB27" s="18">
        <f t="shared" si="14"/>
        <v>3704.3505693552893</v>
      </c>
      <c r="AC27" s="1">
        <f>+AC$25*(AB27/AB$25)</f>
        <v>3852.5245921295009</v>
      </c>
      <c r="AD27" s="1">
        <f t="shared" ref="AD27:AJ27" si="17">+AD$25*(AC27/AC$25)</f>
        <v>4006.6255758146813</v>
      </c>
      <c r="AE27" s="1">
        <f t="shared" si="17"/>
        <v>4166.8905988472688</v>
      </c>
      <c r="AF27" s="1">
        <f t="shared" si="17"/>
        <v>4333.5662228011588</v>
      </c>
      <c r="AG27" s="1">
        <f t="shared" si="17"/>
        <v>4506.9088717132054</v>
      </c>
      <c r="AH27" s="1">
        <f t="shared" si="17"/>
        <v>4687.1852265817333</v>
      </c>
      <c r="AI27" s="1">
        <f t="shared" si="17"/>
        <v>4874.6726356450035</v>
      </c>
      <c r="AJ27" s="1">
        <f t="shared" si="17"/>
        <v>5069.6595410708032</v>
      </c>
    </row>
    <row r="28" spans="2:36" x14ac:dyDescent="0.2">
      <c r="B28" s="1" t="s">
        <v>20</v>
      </c>
      <c r="C28" s="10">
        <v>207</v>
      </c>
      <c r="D28" s="10">
        <v>209</v>
      </c>
      <c r="E28" s="10">
        <v>205</v>
      </c>
      <c r="F28" s="10">
        <f>+Z28-SUM(C28:E28)</f>
        <v>215</v>
      </c>
      <c r="G28" s="10">
        <v>206</v>
      </c>
      <c r="H28" s="10">
        <v>216</v>
      </c>
      <c r="I28" s="10">
        <v>224</v>
      </c>
      <c r="J28" s="10">
        <v>212</v>
      </c>
      <c r="K28" s="1">
        <f t="shared" si="16"/>
        <v>196.91599218531957</v>
      </c>
      <c r="L28" s="1">
        <f t="shared" si="16"/>
        <v>222.48</v>
      </c>
      <c r="M28" s="1">
        <f t="shared" si="16"/>
        <v>241.92000000000002</v>
      </c>
      <c r="N28" s="1">
        <f t="shared" si="16"/>
        <v>228.96000000000004</v>
      </c>
      <c r="W28" s="1">
        <v>609</v>
      </c>
      <c r="X28" s="1">
        <v>703</v>
      </c>
      <c r="Y28" s="1">
        <v>776</v>
      </c>
      <c r="Z28" s="1">
        <v>836</v>
      </c>
      <c r="AA28" s="1">
        <f>SUM(G28:J28)</f>
        <v>858</v>
      </c>
      <c r="AB28" s="18">
        <f t="shared" si="14"/>
        <v>890.27599218531964</v>
      </c>
      <c r="AC28" s="1">
        <f>+AC$25*(AB28/AB$25)</f>
        <v>925.88703187273245</v>
      </c>
      <c r="AD28" s="1">
        <f t="shared" ref="AD28:AJ28" si="18">+AD$25*(AC28/AC$25)</f>
        <v>962.92251314764178</v>
      </c>
      <c r="AE28" s="1">
        <f t="shared" si="18"/>
        <v>1001.4394136735475</v>
      </c>
      <c r="AF28" s="1">
        <f t="shared" si="18"/>
        <v>1041.4969902204894</v>
      </c>
      <c r="AG28" s="1">
        <f t="shared" si="18"/>
        <v>1083.156869829309</v>
      </c>
      <c r="AH28" s="1">
        <f t="shared" si="18"/>
        <v>1126.4831446224812</v>
      </c>
      <c r="AI28" s="1">
        <f t="shared" si="18"/>
        <v>1171.5424704073805</v>
      </c>
      <c r="AJ28" s="1">
        <f t="shared" si="18"/>
        <v>1218.4041692236758</v>
      </c>
    </row>
    <row r="29" spans="2:36" x14ac:dyDescent="0.2">
      <c r="B29" s="1" t="s">
        <v>21</v>
      </c>
      <c r="C29" s="10">
        <v>276</v>
      </c>
      <c r="D29" s="10">
        <v>247</v>
      </c>
      <c r="E29" s="10">
        <v>222</v>
      </c>
      <c r="F29" s="10">
        <f>+Z29-SUM(C29:E29)</f>
        <v>216</v>
      </c>
      <c r="G29" s="10">
        <v>256</v>
      </c>
      <c r="H29" s="10">
        <v>207</v>
      </c>
      <c r="I29" s="10">
        <v>204</v>
      </c>
      <c r="J29" s="10">
        <v>243</v>
      </c>
      <c r="K29" s="1">
        <f t="shared" si="16"/>
        <v>244.71113591962043</v>
      </c>
      <c r="L29" s="1">
        <f t="shared" si="16"/>
        <v>213.20999999999998</v>
      </c>
      <c r="M29" s="1">
        <f t="shared" si="16"/>
        <v>220.32000000000002</v>
      </c>
      <c r="N29" s="1">
        <f t="shared" si="16"/>
        <v>262.44000000000005</v>
      </c>
      <c r="W29" s="1">
        <v>620</v>
      </c>
      <c r="X29" s="1">
        <v>735</v>
      </c>
      <c r="Y29" s="1">
        <v>852</v>
      </c>
      <c r="Z29" s="1">
        <v>961</v>
      </c>
      <c r="AA29" s="1">
        <f>SUM(G29:J29)</f>
        <v>910</v>
      </c>
      <c r="AB29" s="18">
        <f t="shared" si="14"/>
        <v>940.68113591962049</v>
      </c>
      <c r="AC29" s="1">
        <f>+AC$25*(AB29/AB$25)</f>
        <v>978.30838135640522</v>
      </c>
      <c r="AD29" s="1">
        <f t="shared" ref="AD29:AJ29" si="19">+AD$25*(AC29/AC$25)</f>
        <v>1017.4407166106615</v>
      </c>
      <c r="AE29" s="1">
        <f t="shared" si="19"/>
        <v>1058.1383452750881</v>
      </c>
      <c r="AF29" s="1">
        <f t="shared" si="19"/>
        <v>1100.4638790860915</v>
      </c>
      <c r="AG29" s="1">
        <f t="shared" si="19"/>
        <v>1144.4824342495351</v>
      </c>
      <c r="AH29" s="1">
        <f t="shared" si="19"/>
        <v>1190.2617316195165</v>
      </c>
      <c r="AI29" s="1">
        <f t="shared" si="19"/>
        <v>1237.8722008842972</v>
      </c>
      <c r="AJ29" s="1">
        <f t="shared" si="19"/>
        <v>1287.3870889196692</v>
      </c>
    </row>
    <row r="30" spans="2:36" x14ac:dyDescent="0.2">
      <c r="B30" s="1" t="s">
        <v>22</v>
      </c>
      <c r="C30" s="10">
        <f>+C25-SUM(C26:C29)</f>
        <v>1967</v>
      </c>
      <c r="D30" s="10">
        <f>+D25-SUM(D26:D29)</f>
        <v>1912</v>
      </c>
      <c r="E30" s="10">
        <f>+E25-SUM(E26:E29)</f>
        <v>1942</v>
      </c>
      <c r="F30" s="10">
        <f>+F25-SUM(F26:F29)</f>
        <v>2046</v>
      </c>
      <c r="G30" s="10">
        <f>+G25-SUM(G26:G29)</f>
        <v>2175</v>
      </c>
      <c r="H30" s="10">
        <f>+H25-SUM(H26:H29)</f>
        <v>2169</v>
      </c>
      <c r="I30" s="10">
        <f>+I25-SUM(I26:I29)</f>
        <v>2233</v>
      </c>
      <c r="J30" s="10">
        <f>+J25-SUM(J26:J29)</f>
        <v>1893</v>
      </c>
      <c r="K30" s="10">
        <f>+K25-SUM(K26:K29)</f>
        <v>2079.0887524420878</v>
      </c>
      <c r="L30" s="10">
        <f>+L25-SUM(L26:L29)</f>
        <v>2234.0700000000006</v>
      </c>
      <c r="M30" s="10">
        <f>+M25-SUM(M26:M29)</f>
        <v>2411.6400000000003</v>
      </c>
      <c r="N30" s="10">
        <f>+N25-SUM(N26:N29)</f>
        <v>2044.4399999999996</v>
      </c>
      <c r="O30" s="10"/>
      <c r="W30" s="1">
        <f>+W25-SUM(W26:W29)</f>
        <v>7200</v>
      </c>
      <c r="X30" s="1">
        <f>+X25-SUM(X26:X29)</f>
        <v>7784</v>
      </c>
      <c r="Y30" s="1">
        <f>+Y25-SUM(Y26:Y29)</f>
        <v>7654</v>
      </c>
      <c r="Z30" s="1">
        <f>+Z25-SUM(Z26:Z29)</f>
        <v>7867</v>
      </c>
      <c r="AA30" s="1">
        <f>SUM(G30:J30)</f>
        <v>8470</v>
      </c>
      <c r="AB30" s="1">
        <f>+AB25-SUM(AB26:AB29)</f>
        <v>8769.238752442081</v>
      </c>
      <c r="AC30" s="1">
        <f t="shared" ref="AC30:AJ30" si="20">+AC25-SUM(AC26:AC29)</f>
        <v>9120.0083025397726</v>
      </c>
      <c r="AD30" s="1">
        <f t="shared" si="20"/>
        <v>9484.808634641362</v>
      </c>
      <c r="AE30" s="1">
        <f t="shared" si="20"/>
        <v>9864.2009800270134</v>
      </c>
      <c r="AF30" s="1">
        <f t="shared" si="20"/>
        <v>10258.769019228093</v>
      </c>
      <c r="AG30" s="1">
        <f t="shared" si="20"/>
        <v>10669.119779997218</v>
      </c>
      <c r="AH30" s="1">
        <f t="shared" si="20"/>
        <v>11095.884571197108</v>
      </c>
      <c r="AI30" s="1">
        <f t="shared" si="20"/>
        <v>11539.719954044995</v>
      </c>
      <c r="AJ30" s="1">
        <f t="shared" si="20"/>
        <v>12001.308752206791</v>
      </c>
    </row>
    <row r="31" spans="2:36" x14ac:dyDescent="0.2">
      <c r="B31" s="1" t="s">
        <v>23</v>
      </c>
      <c r="C31" s="10">
        <v>59</v>
      </c>
      <c r="D31" s="10">
        <v>59</v>
      </c>
      <c r="E31" s="10">
        <v>63</v>
      </c>
      <c r="F31" s="10">
        <f>+Z31-SUM(C31:E31)</f>
        <v>66</v>
      </c>
      <c r="G31" s="10">
        <v>64</v>
      </c>
      <c r="H31" s="10">
        <v>68</v>
      </c>
      <c r="I31" s="10">
        <v>66</v>
      </c>
      <c r="J31" s="10">
        <v>71</v>
      </c>
      <c r="K31" s="1">
        <f>AVERAGE(G31:J31)</f>
        <v>67.25</v>
      </c>
      <c r="L31" s="1">
        <f>AVERAGE(H31:K31)</f>
        <v>68.0625</v>
      </c>
      <c r="M31" s="1">
        <f>AVERAGE(I31:L31)</f>
        <v>68.078125</v>
      </c>
      <c r="N31" s="1">
        <f>AVERAGE(J31:M31)</f>
        <v>68.59765625</v>
      </c>
      <c r="W31" s="1">
        <v>236</v>
      </c>
      <c r="X31" s="1">
        <v>228</v>
      </c>
      <c r="Y31" s="1">
        <v>238</v>
      </c>
      <c r="Z31" s="1">
        <v>247</v>
      </c>
      <c r="AA31" s="1">
        <f>SUM(G31:J31)</f>
        <v>269</v>
      </c>
      <c r="AB31" s="18">
        <f t="shared" si="14"/>
        <v>271.98828125</v>
      </c>
      <c r="AC31" s="1">
        <f>AVERAGE(Y31:AB31)</f>
        <v>256.4970703125</v>
      </c>
      <c r="AD31" s="1">
        <f t="shared" ref="AD31:AJ31" si="21">AVERAGE(Z31:AC31)</f>
        <v>261.121337890625</v>
      </c>
      <c r="AE31" s="1">
        <f t="shared" si="21"/>
        <v>264.65167236328125</v>
      </c>
      <c r="AF31" s="1">
        <f t="shared" si="21"/>
        <v>263.56459045410156</v>
      </c>
      <c r="AG31" s="1">
        <f t="shared" si="21"/>
        <v>261.45866775512695</v>
      </c>
      <c r="AH31" s="1">
        <f t="shared" si="21"/>
        <v>262.69906711578369</v>
      </c>
      <c r="AI31" s="1">
        <f t="shared" si="21"/>
        <v>263.09349942207336</v>
      </c>
      <c r="AJ31" s="1">
        <f t="shared" si="21"/>
        <v>262.70395618677139</v>
      </c>
    </row>
    <row r="32" spans="2:36" x14ac:dyDescent="0.2">
      <c r="B32" s="1" t="s">
        <v>24</v>
      </c>
      <c r="C32" s="10">
        <v>395</v>
      </c>
      <c r="D32" s="10">
        <v>141</v>
      </c>
      <c r="E32" s="10">
        <v>81</v>
      </c>
      <c r="F32" s="10">
        <f>+Z32-SUM(C32:E32)</f>
        <v>-85</v>
      </c>
      <c r="G32" s="10">
        <v>8</v>
      </c>
      <c r="H32" s="10">
        <v>221</v>
      </c>
      <c r="I32" s="10">
        <v>396</v>
      </c>
      <c r="J32" s="10">
        <v>626</v>
      </c>
      <c r="K32" s="1">
        <f>AVERAGE(G32:J32)</f>
        <v>312.75</v>
      </c>
      <c r="L32" s="1">
        <f>AVERAGE(H32:K32)</f>
        <v>388.9375</v>
      </c>
      <c r="M32" s="1">
        <f>AVERAGE(I32:L32)</f>
        <v>430.921875</v>
      </c>
      <c r="N32" s="1">
        <f>AVERAGE(J32:M32)</f>
        <v>439.65234375</v>
      </c>
      <c r="W32" s="1">
        <v>118</v>
      </c>
      <c r="X32" s="1">
        <v>39</v>
      </c>
      <c r="Y32" s="1">
        <v>300</v>
      </c>
      <c r="Z32" s="1">
        <v>532</v>
      </c>
      <c r="AA32" s="1">
        <f>SUM(G32:J32)</f>
        <v>1251</v>
      </c>
      <c r="AB32" s="18">
        <f>+AA55*$AM$40</f>
        <v>128.66999999999999</v>
      </c>
      <c r="AC32" s="18">
        <f t="shared" ref="AC32:AJ32" si="22">+AB55*$AM$40</f>
        <v>385.09703836641734</v>
      </c>
      <c r="AD32" s="18">
        <f t="shared" si="22"/>
        <v>620.61919506119284</v>
      </c>
      <c r="AE32" s="18">
        <f t="shared" si="22"/>
        <v>871.31121577179567</v>
      </c>
      <c r="AF32" s="18">
        <f t="shared" si="22"/>
        <v>1137.9588648857543</v>
      </c>
      <c r="AG32" s="18">
        <f t="shared" si="22"/>
        <v>1421.4725085649818</v>
      </c>
      <c r="AH32" s="18">
        <f t="shared" si="22"/>
        <v>1722.709514251711</v>
      </c>
      <c r="AI32" s="18">
        <f t="shared" si="22"/>
        <v>2042.4539976842605</v>
      </c>
      <c r="AJ32" s="18">
        <f t="shared" si="22"/>
        <v>2381.6335219476714</v>
      </c>
    </row>
    <row r="33" spans="2:227" x14ac:dyDescent="0.2">
      <c r="B33" s="1" t="s">
        <v>25</v>
      </c>
      <c r="C33" s="10">
        <f>+C30-C31+C32</f>
        <v>2303</v>
      </c>
      <c r="D33" s="10">
        <f>+D30-D31+D32</f>
        <v>1994</v>
      </c>
      <c r="E33" s="10">
        <f>+E30-E31+E32</f>
        <v>1960</v>
      </c>
      <c r="F33" s="10">
        <f>+F30-F31+F32</f>
        <v>1895</v>
      </c>
      <c r="G33" s="10">
        <f>+G30-G31+G32</f>
        <v>2119</v>
      </c>
      <c r="H33" s="10">
        <f>+H30-H31+H32</f>
        <v>2322</v>
      </c>
      <c r="I33" s="10">
        <f>+I30-I31+I32</f>
        <v>2563</v>
      </c>
      <c r="J33" s="10">
        <f>+J30-J31+J32</f>
        <v>2448</v>
      </c>
      <c r="K33" s="10">
        <f>+K30-K31+K32</f>
        <v>2324.5887524420878</v>
      </c>
      <c r="L33" s="10">
        <f>+L30-L31+L32</f>
        <v>2554.9450000000006</v>
      </c>
      <c r="M33" s="10">
        <f>+M30-M31+M32</f>
        <v>2774.4837500000003</v>
      </c>
      <c r="N33" s="10">
        <f>+N30-N31+N32</f>
        <v>2415.4946874999996</v>
      </c>
      <c r="O33" s="10"/>
      <c r="W33" s="1">
        <f>+W30-W31+W32</f>
        <v>7082</v>
      </c>
      <c r="X33" s="1">
        <f>+X30-X31+X32</f>
        <v>7595</v>
      </c>
      <c r="Y33" s="1">
        <f>+Y30-Y31+Y32</f>
        <v>7716</v>
      </c>
      <c r="Z33" s="1">
        <f>+Z30-Z31+Z32</f>
        <v>8152</v>
      </c>
      <c r="AA33" s="1">
        <f>SUM(G33:J33)</f>
        <v>9452</v>
      </c>
      <c r="AB33" s="18">
        <f t="shared" si="14"/>
        <v>10069.512189942088</v>
      </c>
      <c r="AC33" s="1">
        <f>+AC30-AC31+AC32</f>
        <v>9248.6082705936897</v>
      </c>
      <c r="AD33" s="1">
        <f t="shared" ref="AD33:AJ33" si="23">+AD30-AD31+AD32</f>
        <v>9844.3064918119308</v>
      </c>
      <c r="AE33" s="1">
        <f t="shared" si="23"/>
        <v>10470.860523435527</v>
      </c>
      <c r="AF33" s="1">
        <f t="shared" si="23"/>
        <v>11133.163293659745</v>
      </c>
      <c r="AG33" s="1">
        <f t="shared" si="23"/>
        <v>11829.133620807073</v>
      </c>
      <c r="AH33" s="1">
        <f t="shared" si="23"/>
        <v>12555.895018333034</v>
      </c>
      <c r="AI33" s="1">
        <f t="shared" si="23"/>
        <v>13319.080452307182</v>
      </c>
      <c r="AJ33" s="1">
        <f t="shared" si="23"/>
        <v>14120.238317967691</v>
      </c>
    </row>
    <row r="34" spans="2:227" x14ac:dyDescent="0.2">
      <c r="B34" s="1" t="s">
        <v>26</v>
      </c>
      <c r="C34" s="10">
        <v>284</v>
      </c>
      <c r="D34" s="10">
        <v>272</v>
      </c>
      <c r="E34" s="10">
        <v>255</v>
      </c>
      <c r="F34" s="10">
        <f>+Z34-SUM(C34:E34)</f>
        <v>164</v>
      </c>
      <c r="G34" s="10">
        <v>934</v>
      </c>
      <c r="H34" s="10">
        <v>185</v>
      </c>
      <c r="I34" s="10">
        <v>784</v>
      </c>
      <c r="J34" s="10">
        <v>370</v>
      </c>
      <c r="K34" s="1">
        <f>+K33*(J34/J33)</f>
        <v>351.34715621060963</v>
      </c>
      <c r="L34" s="1">
        <f>+L33*(K34/K33)</f>
        <v>386.16407271241837</v>
      </c>
      <c r="M34" s="1">
        <f>+M33*(L34/L33)</f>
        <v>419.34599162581702</v>
      </c>
      <c r="N34" s="1">
        <f>+N33*(M34/M33)</f>
        <v>365.08702384599667</v>
      </c>
      <c r="W34" s="1">
        <v>883</v>
      </c>
      <c r="X34" s="1">
        <v>1074</v>
      </c>
      <c r="Y34" s="1">
        <v>860</v>
      </c>
      <c r="Z34" s="1">
        <v>975</v>
      </c>
      <c r="AA34" s="1">
        <f>SUM(G34:J34)</f>
        <v>2273</v>
      </c>
      <c r="AB34" s="18">
        <f t="shared" si="14"/>
        <v>1521.9442443948419</v>
      </c>
      <c r="AC34" s="1">
        <f>+AC33*(AB34/AB33)</f>
        <v>1397.8697141011705</v>
      </c>
      <c r="AD34" s="1">
        <f t="shared" ref="AD34:AJ34" si="24">+AD33*(AC34/AC33)</f>
        <v>1487.9058014585028</v>
      </c>
      <c r="AE34" s="1">
        <f t="shared" si="24"/>
        <v>1582.6055529702392</v>
      </c>
      <c r="AF34" s="1">
        <f t="shared" si="24"/>
        <v>1682.7085043521677</v>
      </c>
      <c r="AG34" s="1">
        <f t="shared" si="24"/>
        <v>1787.9000979161019</v>
      </c>
      <c r="AH34" s="1">
        <f t="shared" si="24"/>
        <v>1897.745570581382</v>
      </c>
      <c r="AI34" s="1">
        <f t="shared" si="24"/>
        <v>2013.0963101934876</v>
      </c>
      <c r="AJ34" s="1">
        <f t="shared" si="24"/>
        <v>2134.1863470784501</v>
      </c>
    </row>
    <row r="35" spans="2:227" x14ac:dyDescent="0.2">
      <c r="B35" s="1" t="s">
        <v>27</v>
      </c>
      <c r="C35" s="10">
        <f>+C33-C34</f>
        <v>2019</v>
      </c>
      <c r="D35" s="10">
        <f>+D33-D34</f>
        <v>1722</v>
      </c>
      <c r="E35" s="10">
        <f>+E33-E34</f>
        <v>1705</v>
      </c>
      <c r="F35" s="10">
        <f>+F33-F34</f>
        <v>1731</v>
      </c>
      <c r="G35" s="10">
        <f>+G33-G34</f>
        <v>1185</v>
      </c>
      <c r="H35" s="10">
        <f>+H33-H34</f>
        <v>2137</v>
      </c>
      <c r="I35" s="10">
        <f>+I33-I34</f>
        <v>1779</v>
      </c>
      <c r="J35" s="10">
        <f>+J33-J34</f>
        <v>2078</v>
      </c>
      <c r="K35" s="10">
        <f>+K33-K34</f>
        <v>1973.2415962314781</v>
      </c>
      <c r="L35" s="10">
        <f>+L33-L34</f>
        <v>2168.780927287582</v>
      </c>
      <c r="M35" s="10">
        <f>+M33-M34</f>
        <v>2355.1377583741832</v>
      </c>
      <c r="N35" s="10">
        <f>+N33-N34</f>
        <v>2050.407663654003</v>
      </c>
      <c r="O35" s="10"/>
      <c r="W35" s="1">
        <f>+W33-W34</f>
        <v>6199</v>
      </c>
      <c r="X35" s="1">
        <f>+X33-X34</f>
        <v>6521</v>
      </c>
      <c r="Y35" s="1">
        <f>+Y33-Y34</f>
        <v>6856</v>
      </c>
      <c r="Z35" s="1">
        <f>+Z33-Z34</f>
        <v>7177</v>
      </c>
      <c r="AA35" s="1">
        <f>SUM(G35:J35)</f>
        <v>7179</v>
      </c>
      <c r="AB35" s="18">
        <f t="shared" si="14"/>
        <v>8547.5679455472455</v>
      </c>
      <c r="AC35" s="1">
        <f>+AC33-AC34</f>
        <v>7850.7385564925189</v>
      </c>
      <c r="AD35" s="1">
        <f t="shared" ref="AD35:AJ35" si="25">+AD33-AD34</f>
        <v>8356.4006903534282</v>
      </c>
      <c r="AE35" s="1">
        <f t="shared" si="25"/>
        <v>8888.2549704652884</v>
      </c>
      <c r="AF35" s="1">
        <f t="shared" si="25"/>
        <v>9450.4547893075778</v>
      </c>
      <c r="AG35" s="1">
        <f t="shared" si="25"/>
        <v>10041.233522890972</v>
      </c>
      <c r="AH35" s="1">
        <f t="shared" si="25"/>
        <v>10658.149447751652</v>
      </c>
      <c r="AI35" s="1">
        <f t="shared" si="25"/>
        <v>11305.984142113695</v>
      </c>
      <c r="AJ35" s="1">
        <f t="shared" si="25"/>
        <v>11986.051970889241</v>
      </c>
      <c r="AK35" s="1">
        <f>+AJ35*(1+$AM$41)</f>
        <v>12225.773010307026</v>
      </c>
      <c r="AL35" s="1">
        <f t="shared" ref="AL35:CW35" si="26">+AK35*(1+$AM$41)</f>
        <v>12470.288470513167</v>
      </c>
      <c r="AM35" s="1">
        <f t="shared" si="26"/>
        <v>12719.69423992343</v>
      </c>
      <c r="AN35" s="1">
        <f t="shared" si="26"/>
        <v>12974.088124721899</v>
      </c>
      <c r="AO35" s="1">
        <f t="shared" si="26"/>
        <v>13233.569887216338</v>
      </c>
      <c r="AP35" s="1">
        <f t="shared" si="26"/>
        <v>13498.241284960664</v>
      </c>
      <c r="AQ35" s="1">
        <f t="shared" si="26"/>
        <v>13768.206110659878</v>
      </c>
      <c r="AR35" s="1">
        <f t="shared" si="26"/>
        <v>14043.570232873075</v>
      </c>
      <c r="AS35" s="1">
        <f t="shared" si="26"/>
        <v>14324.441637530537</v>
      </c>
      <c r="AT35" s="1">
        <f t="shared" si="26"/>
        <v>14610.930470281148</v>
      </c>
      <c r="AU35" s="1">
        <f t="shared" si="26"/>
        <v>14903.149079686771</v>
      </c>
      <c r="AV35" s="1">
        <f t="shared" si="26"/>
        <v>15201.212061280507</v>
      </c>
      <c r="AW35" s="1">
        <f t="shared" si="26"/>
        <v>15505.236302506117</v>
      </c>
      <c r="AX35" s="1">
        <f t="shared" si="26"/>
        <v>15815.341028556239</v>
      </c>
      <c r="AY35" s="1">
        <f t="shared" si="26"/>
        <v>16131.647849127363</v>
      </c>
      <c r="AZ35" s="1">
        <f t="shared" si="26"/>
        <v>16454.280806109909</v>
      </c>
      <c r="BA35" s="1">
        <f t="shared" si="26"/>
        <v>16783.366422232109</v>
      </c>
      <c r="BB35" s="1">
        <f t="shared" si="26"/>
        <v>17119.033750676754</v>
      </c>
      <c r="BC35" s="1">
        <f t="shared" si="26"/>
        <v>17461.414425690287</v>
      </c>
      <c r="BD35" s="1">
        <f t="shared" si="26"/>
        <v>17810.642714204092</v>
      </c>
      <c r="BE35" s="1">
        <f t="shared" si="26"/>
        <v>18166.855568488176</v>
      </c>
      <c r="BF35" s="1">
        <f t="shared" si="26"/>
        <v>18530.192679857941</v>
      </c>
      <c r="BG35" s="1">
        <f t="shared" si="26"/>
        <v>18900.796533455101</v>
      </c>
      <c r="BH35" s="1">
        <f t="shared" si="26"/>
        <v>19278.812464124203</v>
      </c>
      <c r="BI35" s="1">
        <f t="shared" si="26"/>
        <v>19664.388713406686</v>
      </c>
      <c r="BJ35" s="1">
        <f t="shared" si="26"/>
        <v>20057.67648767482</v>
      </c>
      <c r="BK35" s="1">
        <f t="shared" si="26"/>
        <v>20458.830017428318</v>
      </c>
      <c r="BL35" s="1">
        <f t="shared" si="26"/>
        <v>20868.006617776886</v>
      </c>
      <c r="BM35" s="1">
        <f t="shared" si="26"/>
        <v>21285.366750132423</v>
      </c>
      <c r="BN35" s="1">
        <f t="shared" si="26"/>
        <v>21711.074085135071</v>
      </c>
      <c r="BO35" s="1">
        <f t="shared" si="26"/>
        <v>22145.295566837773</v>
      </c>
      <c r="BP35" s="1">
        <f t="shared" si="26"/>
        <v>22588.201478174527</v>
      </c>
      <c r="BQ35" s="1">
        <f t="shared" si="26"/>
        <v>23039.965507738019</v>
      </c>
      <c r="BR35" s="1">
        <f t="shared" si="26"/>
        <v>23500.764817892781</v>
      </c>
      <c r="BS35" s="1">
        <f t="shared" si="26"/>
        <v>23970.780114250636</v>
      </c>
      <c r="BT35" s="1">
        <f t="shared" si="26"/>
        <v>24450.195716535651</v>
      </c>
      <c r="BU35" s="1">
        <f t="shared" si="26"/>
        <v>24939.199630866366</v>
      </c>
      <c r="BV35" s="1">
        <f t="shared" si="26"/>
        <v>25437.983623483695</v>
      </c>
      <c r="BW35" s="1">
        <f t="shared" si="26"/>
        <v>25946.743295953369</v>
      </c>
      <c r="BX35" s="1">
        <f t="shared" si="26"/>
        <v>26465.678161872438</v>
      </c>
      <c r="BY35" s="1">
        <f t="shared" si="26"/>
        <v>26994.991725109889</v>
      </c>
      <c r="BZ35" s="1">
        <f t="shared" si="26"/>
        <v>27534.891559612086</v>
      </c>
      <c r="CA35" s="1">
        <f t="shared" si="26"/>
        <v>28085.589390804329</v>
      </c>
      <c r="CB35" s="1">
        <f t="shared" si="26"/>
        <v>28647.301178620415</v>
      </c>
      <c r="CC35" s="1">
        <f t="shared" si="26"/>
        <v>29220.247202192822</v>
      </c>
      <c r="CD35" s="1">
        <f t="shared" si="26"/>
        <v>29804.65214623668</v>
      </c>
      <c r="CE35" s="1">
        <f t="shared" si="26"/>
        <v>30400.745189161415</v>
      </c>
      <c r="CF35" s="1">
        <f t="shared" si="26"/>
        <v>31008.760092944642</v>
      </c>
      <c r="CG35" s="1">
        <f t="shared" si="26"/>
        <v>31628.935294803534</v>
      </c>
      <c r="CH35" s="1">
        <f t="shared" si="26"/>
        <v>32261.514000699604</v>
      </c>
      <c r="CI35" s="1">
        <f t="shared" si="26"/>
        <v>32906.744280713596</v>
      </c>
      <c r="CJ35" s="1">
        <f t="shared" si="26"/>
        <v>33564.879166327868</v>
      </c>
      <c r="CK35" s="1">
        <f t="shared" si="26"/>
        <v>34236.176749654427</v>
      </c>
      <c r="CL35" s="1">
        <f t="shared" si="26"/>
        <v>34920.90028464752</v>
      </c>
      <c r="CM35" s="1">
        <f t="shared" si="26"/>
        <v>35619.318290340474</v>
      </c>
      <c r="CN35" s="1">
        <f t="shared" si="26"/>
        <v>36331.704656147282</v>
      </c>
      <c r="CO35" s="1">
        <f t="shared" si="26"/>
        <v>37058.338749270231</v>
      </c>
      <c r="CP35" s="1">
        <f t="shared" si="26"/>
        <v>37799.505524255634</v>
      </c>
      <c r="CQ35" s="1">
        <f t="shared" si="26"/>
        <v>38555.49563474075</v>
      </c>
      <c r="CR35" s="1">
        <f t="shared" si="26"/>
        <v>39326.605547435567</v>
      </c>
      <c r="CS35" s="1">
        <f t="shared" si="26"/>
        <v>40113.137658384279</v>
      </c>
      <c r="CT35" s="1">
        <f t="shared" si="26"/>
        <v>40915.400411551964</v>
      </c>
      <c r="CU35" s="1">
        <f t="shared" si="26"/>
        <v>41733.708419783005</v>
      </c>
      <c r="CV35" s="1">
        <f t="shared" si="26"/>
        <v>42568.382588178669</v>
      </c>
      <c r="CW35" s="1">
        <f t="shared" si="26"/>
        <v>43419.750239942245</v>
      </c>
      <c r="CX35" s="1">
        <f t="shared" ref="CX35:EK35" si="27">+CW35*(1+$AM$41)</f>
        <v>44288.145244741092</v>
      </c>
      <c r="CY35" s="1">
        <f t="shared" si="27"/>
        <v>45173.908149635914</v>
      </c>
      <c r="CZ35" s="1">
        <f t="shared" si="27"/>
        <v>46077.386312628631</v>
      </c>
      <c r="DA35" s="1">
        <f t="shared" si="27"/>
        <v>46998.934038881205</v>
      </c>
      <c r="DB35" s="1">
        <f t="shared" si="27"/>
        <v>47938.912719658831</v>
      </c>
      <c r="DC35" s="1">
        <f t="shared" si="27"/>
        <v>48897.690974052006</v>
      </c>
      <c r="DD35" s="1">
        <f t="shared" si="27"/>
        <v>49875.644793533043</v>
      </c>
      <c r="DE35" s="1">
        <f t="shared" si="27"/>
        <v>50873.157689403706</v>
      </c>
      <c r="DF35" s="1">
        <f t="shared" si="27"/>
        <v>51890.620843191784</v>
      </c>
      <c r="DG35" s="1">
        <f t="shared" si="27"/>
        <v>52928.433260055623</v>
      </c>
      <c r="DH35" s="1">
        <f t="shared" si="27"/>
        <v>53987.001925256736</v>
      </c>
      <c r="DI35" s="1">
        <f t="shared" si="27"/>
        <v>55066.741963761873</v>
      </c>
      <c r="DJ35" s="1">
        <f t="shared" si="27"/>
        <v>56168.076803037111</v>
      </c>
      <c r="DK35" s="1">
        <f t="shared" si="27"/>
        <v>57291.438339097855</v>
      </c>
      <c r="DL35" s="1">
        <f t="shared" si="27"/>
        <v>58437.267105879815</v>
      </c>
      <c r="DM35" s="1">
        <f t="shared" si="27"/>
        <v>59606.012447997411</v>
      </c>
      <c r="DN35" s="1">
        <f t="shared" si="27"/>
        <v>60798.132696957364</v>
      </c>
      <c r="DO35" s="1">
        <f t="shared" si="27"/>
        <v>62014.09535089651</v>
      </c>
      <c r="DP35" s="1">
        <f t="shared" si="27"/>
        <v>63254.377257914442</v>
      </c>
      <c r="DQ35" s="1">
        <f t="shared" si="27"/>
        <v>64519.464803072733</v>
      </c>
      <c r="DR35" s="1">
        <f t="shared" si="27"/>
        <v>65809.854099134187</v>
      </c>
      <c r="DS35" s="1">
        <f t="shared" si="27"/>
        <v>67126.051181116869</v>
      </c>
      <c r="DT35" s="1">
        <f t="shared" si="27"/>
        <v>68468.572204739205</v>
      </c>
      <c r="DU35" s="1">
        <f t="shared" si="27"/>
        <v>69837.943648833985</v>
      </c>
      <c r="DV35" s="1">
        <f t="shared" si="27"/>
        <v>71234.702521810672</v>
      </c>
      <c r="DW35" s="1">
        <f t="shared" si="27"/>
        <v>72659.396572246886</v>
      </c>
      <c r="DX35" s="1">
        <f t="shared" si="27"/>
        <v>74112.584503691818</v>
      </c>
      <c r="DY35" s="1">
        <f t="shared" si="27"/>
        <v>75594.836193765659</v>
      </c>
      <c r="DZ35" s="1">
        <f t="shared" si="27"/>
        <v>77106.732917640969</v>
      </c>
      <c r="EA35" s="1">
        <f t="shared" si="27"/>
        <v>78648.867575993791</v>
      </c>
      <c r="EB35" s="1">
        <f t="shared" si="27"/>
        <v>80221.844927513666</v>
      </c>
      <c r="EC35" s="1">
        <f t="shared" si="27"/>
        <v>81826.281826063947</v>
      </c>
      <c r="ED35" s="1">
        <f t="shared" si="27"/>
        <v>83462.807462585231</v>
      </c>
      <c r="EE35" s="1">
        <f t="shared" si="27"/>
        <v>85132.063611836944</v>
      </c>
      <c r="EF35" s="1">
        <f t="shared" si="27"/>
        <v>86834.704884073682</v>
      </c>
      <c r="EG35" s="1">
        <f t="shared" si="27"/>
        <v>88571.398981755163</v>
      </c>
      <c r="EH35" s="1">
        <f t="shared" si="27"/>
        <v>90342.826961390267</v>
      </c>
      <c r="EI35" s="1">
        <f t="shared" si="27"/>
        <v>92149.683500618077</v>
      </c>
      <c r="EJ35" s="1">
        <f t="shared" si="27"/>
        <v>93992.677170630443</v>
      </c>
      <c r="EK35" s="1">
        <f t="shared" si="27"/>
        <v>95872.530714043052</v>
      </c>
      <c r="EL35" s="1">
        <f t="shared" ref="EL35:GE35" si="28">+EK35*(1+$AM$41)</f>
        <v>97789.98132832392</v>
      </c>
      <c r="EM35" s="1">
        <f t="shared" si="28"/>
        <v>99745.780954890404</v>
      </c>
      <c r="EN35" s="1">
        <f t="shared" si="28"/>
        <v>101740.69657398821</v>
      </c>
      <c r="EO35" s="1">
        <f t="shared" si="28"/>
        <v>103775.51050546797</v>
      </c>
      <c r="EP35" s="1">
        <f t="shared" si="28"/>
        <v>105851.02071557734</v>
      </c>
      <c r="EQ35" s="1">
        <f t="shared" si="28"/>
        <v>107968.04112988889</v>
      </c>
      <c r="ER35" s="1">
        <f t="shared" si="28"/>
        <v>110127.40195248667</v>
      </c>
      <c r="ES35" s="1">
        <f t="shared" si="28"/>
        <v>112329.94999153641</v>
      </c>
      <c r="ET35" s="1">
        <f t="shared" si="28"/>
        <v>114576.54899136715</v>
      </c>
      <c r="EU35" s="1">
        <f t="shared" si="28"/>
        <v>116868.0799711945</v>
      </c>
      <c r="EV35" s="1">
        <f t="shared" si="28"/>
        <v>119205.44157061839</v>
      </c>
      <c r="EW35" s="1">
        <f t="shared" si="28"/>
        <v>121589.55040203077</v>
      </c>
      <c r="EX35" s="1">
        <f t="shared" si="28"/>
        <v>124021.34141007139</v>
      </c>
      <c r="EY35" s="1">
        <f t="shared" si="28"/>
        <v>126501.76823827281</v>
      </c>
      <c r="EZ35" s="1">
        <f t="shared" si="28"/>
        <v>129031.80360303826</v>
      </c>
      <c r="FA35" s="1">
        <f t="shared" si="28"/>
        <v>131612.43967509904</v>
      </c>
      <c r="FB35" s="1">
        <f t="shared" si="28"/>
        <v>134244.68846860103</v>
      </c>
      <c r="FC35" s="1">
        <f t="shared" si="28"/>
        <v>136929.58223797305</v>
      </c>
      <c r="FD35" s="1">
        <f t="shared" si="28"/>
        <v>139668.17388273252</v>
      </c>
      <c r="FE35" s="1">
        <f t="shared" si="28"/>
        <v>142461.53736038716</v>
      </c>
      <c r="FF35" s="1">
        <f t="shared" si="28"/>
        <v>145310.76810759489</v>
      </c>
      <c r="FG35" s="1">
        <f t="shared" si="28"/>
        <v>148216.9834697468</v>
      </c>
      <c r="FH35" s="1">
        <f t="shared" si="28"/>
        <v>151181.32313914175</v>
      </c>
      <c r="FI35" s="1">
        <f t="shared" si="28"/>
        <v>154204.9496019246</v>
      </c>
      <c r="FJ35" s="1">
        <f t="shared" si="28"/>
        <v>157289.04859396309</v>
      </c>
      <c r="FK35" s="1">
        <f t="shared" si="28"/>
        <v>160434.82956584234</v>
      </c>
      <c r="FL35" s="1">
        <f t="shared" si="28"/>
        <v>163643.52615715918</v>
      </c>
      <c r="FM35" s="1">
        <f t="shared" si="28"/>
        <v>166916.39668030236</v>
      </c>
      <c r="FN35" s="1">
        <f t="shared" si="28"/>
        <v>170254.72461390842</v>
      </c>
      <c r="FO35" s="1">
        <f t="shared" si="28"/>
        <v>173659.81910618659</v>
      </c>
      <c r="FP35" s="1">
        <f t="shared" si="28"/>
        <v>177133.01548831034</v>
      </c>
      <c r="FQ35" s="1">
        <f t="shared" si="28"/>
        <v>180675.67579807655</v>
      </c>
      <c r="FR35" s="1">
        <f t="shared" si="28"/>
        <v>184289.18931403809</v>
      </c>
      <c r="FS35" s="1">
        <f t="shared" si="28"/>
        <v>187974.97310031886</v>
      </c>
      <c r="FT35" s="1">
        <f t="shared" si="28"/>
        <v>191734.47256232525</v>
      </c>
      <c r="FU35" s="1">
        <f t="shared" si="28"/>
        <v>195569.16201357177</v>
      </c>
      <c r="FV35" s="1">
        <f t="shared" si="28"/>
        <v>199480.54525384321</v>
      </c>
      <c r="FW35" s="1">
        <f t="shared" si="28"/>
        <v>203470.15615892009</v>
      </c>
      <c r="FX35" s="1">
        <f t="shared" si="28"/>
        <v>207539.55928209849</v>
      </c>
      <c r="FY35" s="1">
        <f t="shared" si="28"/>
        <v>211690.35046774047</v>
      </c>
      <c r="FZ35" s="1">
        <f t="shared" si="28"/>
        <v>215924.15747709529</v>
      </c>
      <c r="GA35" s="1">
        <f t="shared" si="28"/>
        <v>220242.64062663721</v>
      </c>
      <c r="GB35" s="1">
        <f t="shared" si="28"/>
        <v>224647.49343916995</v>
      </c>
      <c r="GC35" s="1">
        <f t="shared" si="28"/>
        <v>229140.44330795336</v>
      </c>
      <c r="GD35" s="1">
        <f t="shared" si="28"/>
        <v>233723.25217411242</v>
      </c>
      <c r="GE35" s="1">
        <f t="shared" si="28"/>
        <v>238397.71721759468</v>
      </c>
      <c r="GF35" s="1">
        <f t="shared" ref="GF35:HE35" si="29">+GE35*(1+$AM$41)</f>
        <v>243165.67156194657</v>
      </c>
      <c r="GG35" s="1">
        <f t="shared" si="29"/>
        <v>248028.9849931855</v>
      </c>
      <c r="GH35" s="1">
        <f t="shared" si="29"/>
        <v>252989.56469304921</v>
      </c>
      <c r="GI35" s="1">
        <f t="shared" si="29"/>
        <v>258049.3559869102</v>
      </c>
      <c r="GJ35" s="1">
        <f t="shared" si="29"/>
        <v>263210.34310664842</v>
      </c>
      <c r="GK35" s="1">
        <f t="shared" si="29"/>
        <v>268474.54996878142</v>
      </c>
      <c r="GL35" s="1">
        <f t="shared" si="29"/>
        <v>273844.04096815706</v>
      </c>
      <c r="GM35" s="1">
        <f t="shared" si="29"/>
        <v>279320.92178752023</v>
      </c>
      <c r="GN35" s="1">
        <f t="shared" si="29"/>
        <v>284907.34022327064</v>
      </c>
      <c r="GO35" s="1">
        <f t="shared" si="29"/>
        <v>290605.48702773609</v>
      </c>
      <c r="GP35" s="1">
        <f t="shared" si="29"/>
        <v>296417.59676829079</v>
      </c>
      <c r="GQ35" s="1">
        <f t="shared" si="29"/>
        <v>302345.94870365661</v>
      </c>
      <c r="GR35" s="1">
        <f t="shared" si="29"/>
        <v>308392.86767772975</v>
      </c>
      <c r="GS35" s="1">
        <f t="shared" si="29"/>
        <v>314560.72503128432</v>
      </c>
      <c r="GT35" s="1">
        <f t="shared" si="29"/>
        <v>320851.93953191</v>
      </c>
      <c r="GU35" s="1">
        <f t="shared" si="29"/>
        <v>327268.97832254821</v>
      </c>
      <c r="GV35" s="1">
        <f t="shared" si="29"/>
        <v>333814.35788899916</v>
      </c>
      <c r="GW35" s="1">
        <f t="shared" si="29"/>
        <v>340490.64504677913</v>
      </c>
      <c r="GX35" s="1">
        <f t="shared" si="29"/>
        <v>347300.45794771472</v>
      </c>
      <c r="GY35" s="1">
        <f t="shared" si="29"/>
        <v>354246.46710666904</v>
      </c>
      <c r="GZ35" s="1">
        <f t="shared" si="29"/>
        <v>361331.39644880244</v>
      </c>
      <c r="HA35" s="1">
        <f t="shared" si="29"/>
        <v>368558.02437777846</v>
      </c>
      <c r="HB35" s="1">
        <f t="shared" si="29"/>
        <v>375929.18486533401</v>
      </c>
      <c r="HC35" s="1">
        <f t="shared" si="29"/>
        <v>383447.7685626407</v>
      </c>
      <c r="HD35" s="1">
        <f t="shared" si="29"/>
        <v>391116.72393389355</v>
      </c>
      <c r="HE35" s="1">
        <f t="shared" si="29"/>
        <v>398939.05841257144</v>
      </c>
      <c r="HF35" s="1">
        <f t="shared" ref="HF35:HS35" si="30">+HE35*(1+$AM$41)</f>
        <v>406917.83958082285</v>
      </c>
      <c r="HG35" s="1">
        <f t="shared" si="30"/>
        <v>415056.19637243933</v>
      </c>
      <c r="HH35" s="1">
        <f t="shared" si="30"/>
        <v>423357.32029988815</v>
      </c>
      <c r="HI35" s="1">
        <f t="shared" si="30"/>
        <v>431824.46670588589</v>
      </c>
      <c r="HJ35" s="1">
        <f t="shared" si="30"/>
        <v>440460.95604000363</v>
      </c>
      <c r="HK35" s="1">
        <f t="shared" si="30"/>
        <v>449270.17516080372</v>
      </c>
      <c r="HL35" s="1">
        <f t="shared" si="30"/>
        <v>458255.57866401982</v>
      </c>
      <c r="HM35" s="1">
        <f t="shared" si="30"/>
        <v>467420.69023730024</v>
      </c>
      <c r="HN35" s="1">
        <f t="shared" si="30"/>
        <v>476769.10404204624</v>
      </c>
      <c r="HO35" s="1">
        <f t="shared" si="30"/>
        <v>486304.48612288717</v>
      </c>
      <c r="HP35" s="1">
        <f t="shared" si="30"/>
        <v>496030.57584534492</v>
      </c>
      <c r="HQ35" s="1">
        <f t="shared" si="30"/>
        <v>505951.1873622518</v>
      </c>
      <c r="HR35" s="1">
        <f t="shared" si="30"/>
        <v>516070.21110949683</v>
      </c>
      <c r="HS35" s="1">
        <f t="shared" si="30"/>
        <v>526391.6153316868</v>
      </c>
    </row>
    <row r="36" spans="2:227" x14ac:dyDescent="0.2">
      <c r="B36" s="1" t="s">
        <v>28</v>
      </c>
      <c r="C36" s="10">
        <v>237</v>
      </c>
      <c r="D36" s="10">
        <v>836</v>
      </c>
      <c r="E36" s="10">
        <v>833</v>
      </c>
      <c r="G36" s="10">
        <v>819</v>
      </c>
      <c r="H36" s="10">
        <v>812</v>
      </c>
      <c r="I36" s="10">
        <v>802</v>
      </c>
      <c r="J36" s="10">
        <v>798</v>
      </c>
      <c r="K36" s="1">
        <f>+J36</f>
        <v>798</v>
      </c>
      <c r="L36" s="1">
        <f>+K36</f>
        <v>798</v>
      </c>
      <c r="M36" s="1">
        <f>+L36</f>
        <v>798</v>
      </c>
      <c r="N36" s="1">
        <f>+M36</f>
        <v>798</v>
      </c>
      <c r="W36" s="1">
        <v>968.59375</v>
      </c>
      <c r="X36" s="1">
        <v>876.47849462365582</v>
      </c>
      <c r="Y36" s="1">
        <v>845.37607891491996</v>
      </c>
      <c r="Z36" s="1">
        <v>833.56562137049946</v>
      </c>
      <c r="AA36" s="1">
        <f>+AA35/AA37</f>
        <v>806.5499758619377</v>
      </c>
      <c r="AB36" s="18">
        <f>+AB35/AB37</f>
        <v>797.99999999999989</v>
      </c>
      <c r="AC36" s="1">
        <f>+AB36</f>
        <v>797.99999999999989</v>
      </c>
      <c r="AD36" s="1">
        <f t="shared" ref="AD36:AJ36" si="31">+AC36</f>
        <v>797.99999999999989</v>
      </c>
      <c r="AE36" s="1">
        <f t="shared" si="31"/>
        <v>797.99999999999989</v>
      </c>
      <c r="AF36" s="1">
        <f t="shared" si="31"/>
        <v>797.99999999999989</v>
      </c>
      <c r="AG36" s="1">
        <f t="shared" si="31"/>
        <v>797.99999999999989</v>
      </c>
      <c r="AH36" s="1">
        <f t="shared" si="31"/>
        <v>797.99999999999989</v>
      </c>
      <c r="AI36" s="1">
        <f t="shared" si="31"/>
        <v>797.99999999999989</v>
      </c>
      <c r="AJ36" s="1">
        <f t="shared" si="31"/>
        <v>797.99999999999989</v>
      </c>
    </row>
    <row r="37" spans="2:227" s="5" customFormat="1" x14ac:dyDescent="0.2">
      <c r="B37" s="5" t="s">
        <v>29</v>
      </c>
      <c r="C37" s="15">
        <f>+C35/C36</f>
        <v>8.5189873417721511</v>
      </c>
      <c r="D37" s="16">
        <f>+D35/D36</f>
        <v>2.0598086124401913</v>
      </c>
      <c r="E37" s="16">
        <f>+E35/E36</f>
        <v>2.0468187274909964</v>
      </c>
      <c r="F37" s="10">
        <f>+Z37-SUM(C37:E37)</f>
        <v>-4.0156146817033402</v>
      </c>
      <c r="G37" s="16">
        <f>+G35/G36</f>
        <v>1.4468864468864469</v>
      </c>
      <c r="H37" s="16">
        <f>+H35/H36</f>
        <v>2.6317733990147785</v>
      </c>
      <c r="I37" s="16">
        <f>+I35/I36</f>
        <v>2.218204488778055</v>
      </c>
      <c r="J37" s="16">
        <f>+J35/J36</f>
        <v>2.6040100250626566</v>
      </c>
      <c r="K37" s="5">
        <f>+K35/K36</f>
        <v>2.4727338298640076</v>
      </c>
      <c r="L37" s="5">
        <f>+L35/L36</f>
        <v>2.7177705855734109</v>
      </c>
      <c r="M37" s="5">
        <f>+M35/M36</f>
        <v>2.9513004490904553</v>
      </c>
      <c r="N37" s="5">
        <f>+N35/N36</f>
        <v>2.5694331624736879</v>
      </c>
      <c r="W37" s="5">
        <f>+W35/W36</f>
        <v>6.4</v>
      </c>
      <c r="X37" s="5">
        <f>+X35/X36</f>
        <v>7.44</v>
      </c>
      <c r="Y37" s="5">
        <f>+Y35/Y36</f>
        <v>8.11</v>
      </c>
      <c r="Z37" s="5">
        <f>+Z35/Z36</f>
        <v>8.61</v>
      </c>
      <c r="AA37" s="1">
        <f>SUM(G37:J37)</f>
        <v>8.9008743597419375</v>
      </c>
      <c r="AB37" s="18">
        <f t="shared" si="14"/>
        <v>10.711238027001562</v>
      </c>
      <c r="AC37" s="5">
        <f>+AC35/AC36</f>
        <v>9.8380182412186965</v>
      </c>
      <c r="AD37" s="5">
        <f t="shared" ref="AD37:AJ37" si="32">+AD35/AD36</f>
        <v>10.471680063099535</v>
      </c>
      <c r="AE37" s="5">
        <f t="shared" si="32"/>
        <v>11.138164123390087</v>
      </c>
      <c r="AF37" s="5">
        <f t="shared" si="32"/>
        <v>11.842675174570902</v>
      </c>
      <c r="AG37" s="5">
        <f t="shared" si="32"/>
        <v>12.582999402119015</v>
      </c>
      <c r="AH37" s="5">
        <f t="shared" si="32"/>
        <v>13.356077002195054</v>
      </c>
      <c r="AI37" s="5">
        <f t="shared" si="32"/>
        <v>14.167899927460773</v>
      </c>
      <c r="AJ37" s="5">
        <f t="shared" si="32"/>
        <v>15.020115251740906</v>
      </c>
    </row>
    <row r="38" spans="2:227" x14ac:dyDescent="0.2">
      <c r="AB38" s="1">
        <f>+AB35/(1+$AM$42)^AB1</f>
        <v>7914.4147643955976</v>
      </c>
      <c r="AC38" s="1">
        <f t="shared" ref="AC38:CN38" si="33">+AC35/(1+$AM$42)^AC1</f>
        <v>6730.7429325210205</v>
      </c>
      <c r="AD38" s="1">
        <f t="shared" si="33"/>
        <v>6633.5802868857545</v>
      </c>
      <c r="AE38" s="1">
        <f t="shared" si="33"/>
        <v>6533.132742558445</v>
      </c>
      <c r="AF38" s="1">
        <f t="shared" si="33"/>
        <v>6431.8207339298942</v>
      </c>
      <c r="AG38" s="1">
        <f t="shared" si="33"/>
        <v>6327.6803825663255</v>
      </c>
      <c r="AH38" s="1">
        <f t="shared" si="33"/>
        <v>6218.927834031505</v>
      </c>
      <c r="AI38" s="1">
        <f t="shared" si="33"/>
        <v>6108.2714406567939</v>
      </c>
      <c r="AJ38" s="1">
        <f t="shared" si="33"/>
        <v>5996.0101184213308</v>
      </c>
      <c r="AK38" s="1">
        <f t="shared" si="33"/>
        <v>5662.8984451757015</v>
      </c>
      <c r="AL38" s="1">
        <f t="shared" si="33"/>
        <v>5348.2929759992739</v>
      </c>
      <c r="AM38" s="1">
        <f t="shared" si="33"/>
        <v>5051.1655884437587</v>
      </c>
      <c r="AN38" s="1">
        <f t="shared" si="33"/>
        <v>4770.5452779746611</v>
      </c>
      <c r="AO38" s="1">
        <f t="shared" si="33"/>
        <v>4505.514984753846</v>
      </c>
      <c r="AP38" s="1">
        <f t="shared" si="33"/>
        <v>4255.2085967119647</v>
      </c>
      <c r="AQ38" s="1">
        <f t="shared" si="33"/>
        <v>4018.8081191168562</v>
      </c>
      <c r="AR38" s="1">
        <f t="shared" si="33"/>
        <v>3795.5410013881415</v>
      </c>
      <c r="AS38" s="1">
        <f t="shared" si="33"/>
        <v>3584.6776124221337</v>
      </c>
      <c r="AT38" s="1">
        <f t="shared" si="33"/>
        <v>3385.5288561764592</v>
      </c>
      <c r="AU38" s="1">
        <f t="shared" si="33"/>
        <v>3197.4439197222118</v>
      </c>
      <c r="AV38" s="1">
        <f t="shared" si="33"/>
        <v>3019.8081464043107</v>
      </c>
      <c r="AW38" s="1">
        <f t="shared" si="33"/>
        <v>2852.0410271596265</v>
      </c>
      <c r="AX38" s="1">
        <f t="shared" si="33"/>
        <v>2693.594303428536</v>
      </c>
      <c r="AY38" s="1">
        <f t="shared" si="33"/>
        <v>2543.9501754602838</v>
      </c>
      <c r="AZ38" s="1">
        <f t="shared" si="33"/>
        <v>2402.6196101569344</v>
      </c>
      <c r="BA38" s="1">
        <f t="shared" si="33"/>
        <v>2269.1407429259939</v>
      </c>
      <c r="BB38" s="1">
        <f t="shared" si="33"/>
        <v>2143.0773683189946</v>
      </c>
      <c r="BC38" s="1">
        <f t="shared" si="33"/>
        <v>2024.0175145234948</v>
      </c>
      <c r="BD38" s="1">
        <f t="shared" si="33"/>
        <v>1911.5720970499669</v>
      </c>
      <c r="BE38" s="1">
        <f t="shared" si="33"/>
        <v>1805.3736472138578</v>
      </c>
      <c r="BF38" s="1">
        <f t="shared" si="33"/>
        <v>1705.0751112575322</v>
      </c>
      <c r="BG38" s="1">
        <f t="shared" si="33"/>
        <v>1610.3487161876694</v>
      </c>
      <c r="BH38" s="1">
        <f t="shared" si="33"/>
        <v>1520.8848986216876</v>
      </c>
      <c r="BI38" s="1">
        <f t="shared" si="33"/>
        <v>1436.3912931427051</v>
      </c>
      <c r="BJ38" s="1">
        <f t="shared" si="33"/>
        <v>1356.5917768569991</v>
      </c>
      <c r="BK38" s="1">
        <f t="shared" si="33"/>
        <v>1281.2255670316101</v>
      </c>
      <c r="BL38" s="1">
        <f t="shared" si="33"/>
        <v>1210.0463688631874</v>
      </c>
      <c r="BM38" s="1">
        <f t="shared" si="33"/>
        <v>1142.8215705930102</v>
      </c>
      <c r="BN38" s="1">
        <f t="shared" si="33"/>
        <v>1079.3314833378429</v>
      </c>
      <c r="BO38" s="1">
        <f t="shared" si="33"/>
        <v>1019.3686231524072</v>
      </c>
      <c r="BP38" s="1">
        <f t="shared" si="33"/>
        <v>962.73703297727332</v>
      </c>
      <c r="BQ38" s="1">
        <f t="shared" si="33"/>
        <v>909.25164225631386</v>
      </c>
      <c r="BR38" s="1">
        <f t="shared" si="33"/>
        <v>858.73766213096314</v>
      </c>
      <c r="BS38" s="1">
        <f t="shared" si="33"/>
        <v>811.03001423479827</v>
      </c>
      <c r="BT38" s="1">
        <f t="shared" si="33"/>
        <v>765.97279122175405</v>
      </c>
      <c r="BU38" s="1">
        <f t="shared" si="33"/>
        <v>723.41874726498986</v>
      </c>
      <c r="BV38" s="1">
        <f t="shared" si="33"/>
        <v>683.2288168613793</v>
      </c>
      <c r="BW38" s="1">
        <f t="shared" si="33"/>
        <v>645.27166036908056</v>
      </c>
      <c r="BX38" s="1">
        <f t="shared" si="33"/>
        <v>609.42323479302047</v>
      </c>
      <c r="BY38" s="1">
        <f t="shared" si="33"/>
        <v>575.56638841563051</v>
      </c>
      <c r="BZ38" s="1">
        <f t="shared" si="33"/>
        <v>543.59047794809533</v>
      </c>
      <c r="CA38" s="1">
        <f t="shared" si="33"/>
        <v>513.39100695097898</v>
      </c>
      <c r="CB38" s="1">
        <f t="shared" si="33"/>
        <v>484.8692843425913</v>
      </c>
      <c r="CC38" s="1">
        <f t="shared" si="33"/>
        <v>457.93210187911387</v>
      </c>
      <c r="CD38" s="1">
        <f t="shared" si="33"/>
        <v>432.49142955249647</v>
      </c>
      <c r="CE38" s="1">
        <f t="shared" si="33"/>
        <v>408.4641279106911</v>
      </c>
      <c r="CF38" s="1">
        <f t="shared" si="33"/>
        <v>385.7716763600971</v>
      </c>
      <c r="CG38" s="1">
        <f t="shared" si="33"/>
        <v>364.33991656231393</v>
      </c>
      <c r="CH38" s="1">
        <f t="shared" si="33"/>
        <v>344.09881008662984</v>
      </c>
      <c r="CI38" s="1">
        <f t="shared" si="33"/>
        <v>324.9822095262615</v>
      </c>
      <c r="CJ38" s="1">
        <f t="shared" si="33"/>
        <v>306.92764233035808</v>
      </c>
      <c r="CK38" s="1">
        <f t="shared" si="33"/>
        <v>289.87610664533815</v>
      </c>
      <c r="CL38" s="1">
        <f t="shared" si="33"/>
        <v>273.77187849837492</v>
      </c>
      <c r="CM38" s="1">
        <f t="shared" si="33"/>
        <v>258.56232969290966</v>
      </c>
      <c r="CN38" s="1">
        <f t="shared" si="33"/>
        <v>244.1977558210813</v>
      </c>
      <c r="CO38" s="1">
        <f t="shared" ref="CO38:EZ38" si="34">+CO35/(1+$AM$42)^CO1</f>
        <v>230.63121383102126</v>
      </c>
      <c r="CP38" s="1">
        <f t="shared" si="34"/>
        <v>217.81836861818672</v>
      </c>
      <c r="CQ38" s="1">
        <f t="shared" si="34"/>
        <v>205.71734813939855</v>
      </c>
      <c r="CR38" s="1">
        <f t="shared" si="34"/>
        <v>194.28860657609866</v>
      </c>
      <c r="CS38" s="1">
        <f t="shared" si="34"/>
        <v>183.49479509964871</v>
      </c>
      <c r="CT38" s="1">
        <f t="shared" si="34"/>
        <v>173.30063981633489</v>
      </c>
      <c r="CU38" s="1">
        <f t="shared" si="34"/>
        <v>163.67282649320518</v>
      </c>
      <c r="CV38" s="1">
        <f t="shared" si="34"/>
        <v>154.57989168802709</v>
      </c>
      <c r="CW38" s="1">
        <f t="shared" si="34"/>
        <v>145.99211992758114</v>
      </c>
      <c r="CX38" s="1">
        <f t="shared" si="34"/>
        <v>137.88144659827108</v>
      </c>
      <c r="CY38" s="1">
        <f t="shared" si="34"/>
        <v>130.22136623170047</v>
      </c>
      <c r="CZ38" s="1">
        <f t="shared" si="34"/>
        <v>122.9868458854949</v>
      </c>
      <c r="DA38" s="1">
        <f t="shared" si="34"/>
        <v>116.15424333630072</v>
      </c>
      <c r="DB38" s="1">
        <f t="shared" si="34"/>
        <v>109.70122981761733</v>
      </c>
      <c r="DC38" s="1">
        <f t="shared" si="34"/>
        <v>103.60671704997193</v>
      </c>
      <c r="DD38" s="1">
        <f t="shared" si="34"/>
        <v>97.850788324973479</v>
      </c>
      <c r="DE38" s="1">
        <f t="shared" si="34"/>
        <v>92.414633418030505</v>
      </c>
      <c r="DF38" s="1">
        <f t="shared" si="34"/>
        <v>87.280487117028798</v>
      </c>
      <c r="DG38" s="1">
        <f t="shared" si="34"/>
        <v>82.431571166082762</v>
      </c>
      <c r="DH38" s="1">
        <f t="shared" si="34"/>
        <v>77.852039434633724</v>
      </c>
      <c r="DI38" s="1">
        <f t="shared" si="34"/>
        <v>73.526926132709633</v>
      </c>
      <c r="DJ38" s="1">
        <f t="shared" si="34"/>
        <v>69.442096903114646</v>
      </c>
      <c r="DK38" s="1">
        <f t="shared" si="34"/>
        <v>65.584202630719389</v>
      </c>
      <c r="DL38" s="1">
        <f t="shared" si="34"/>
        <v>61.940635817901637</v>
      </c>
      <c r="DM38" s="1">
        <f t="shared" si="34"/>
        <v>58.499489383573774</v>
      </c>
      <c r="DN38" s="1">
        <f t="shared" si="34"/>
        <v>55.249517751153014</v>
      </c>
      <c r="DO38" s="1">
        <f t="shared" si="34"/>
        <v>52.180100098311179</v>
      </c>
      <c r="DP38" s="1">
        <f t="shared" si="34"/>
        <v>49.281205648404999</v>
      </c>
      <c r="DQ38" s="1">
        <f t="shared" si="34"/>
        <v>46.543360890160265</v>
      </c>
      <c r="DR38" s="1">
        <f t="shared" si="34"/>
        <v>43.957618618484695</v>
      </c>
      <c r="DS38" s="1">
        <f t="shared" si="34"/>
        <v>41.515528695235538</v>
      </c>
      <c r="DT38" s="1">
        <f t="shared" si="34"/>
        <v>39.209110434389125</v>
      </c>
      <c r="DU38" s="1">
        <f t="shared" si="34"/>
        <v>37.030826521367501</v>
      </c>
      <c r="DV38" s="1">
        <f t="shared" si="34"/>
        <v>34.973558381291525</v>
      </c>
      <c r="DW38" s="1">
        <f t="shared" si="34"/>
        <v>33.030582915664212</v>
      </c>
      <c r="DX38" s="1">
        <f t="shared" si="34"/>
        <v>31.19555053146065</v>
      </c>
      <c r="DY38" s="1">
        <f t="shared" si="34"/>
        <v>29.462464390823943</v>
      </c>
      <c r="DZ38" s="1">
        <f t="shared" si="34"/>
        <v>27.825660813555949</v>
      </c>
      <c r="EA38" s="1">
        <f t="shared" si="34"/>
        <v>26.279790768358392</v>
      </c>
      <c r="EB38" s="1">
        <f t="shared" si="34"/>
        <v>24.819802392338481</v>
      </c>
      <c r="EC38" s="1">
        <f t="shared" si="34"/>
        <v>23.440924481653013</v>
      </c>
      <c r="ED38" s="1">
        <f t="shared" si="34"/>
        <v>22.138650899338959</v>
      </c>
      <c r="EE38" s="1">
        <f t="shared" si="34"/>
        <v>20.908725849375681</v>
      </c>
      <c r="EF38" s="1">
        <f t="shared" si="34"/>
        <v>19.747129968854811</v>
      </c>
      <c r="EG38" s="1">
        <f t="shared" si="34"/>
        <v>18.65006719280732</v>
      </c>
      <c r="EH38" s="1">
        <f t="shared" si="34"/>
        <v>17.613952348762467</v>
      </c>
      <c r="EI38" s="1">
        <f t="shared" si="34"/>
        <v>16.635399440497888</v>
      </c>
      <c r="EJ38" s="1">
        <f t="shared" si="34"/>
        <v>15.71121058269245</v>
      </c>
      <c r="EK38" s="1">
        <f t="shared" si="34"/>
        <v>14.838365550320646</v>
      </c>
      <c r="EL38" s="1">
        <f t="shared" si="34"/>
        <v>14.014011908636164</v>
      </c>
      <c r="EM38" s="1">
        <f t="shared" si="34"/>
        <v>13.235455691489712</v>
      </c>
      <c r="EN38" s="1">
        <f t="shared" si="34"/>
        <v>12.500152597518062</v>
      </c>
      <c r="EO38" s="1">
        <f t="shared" si="34"/>
        <v>11.805699675433724</v>
      </c>
      <c r="EP38" s="1">
        <f t="shared" si="34"/>
        <v>11.149827471242959</v>
      </c>
      <c r="EQ38" s="1">
        <f t="shared" si="34"/>
        <v>10.530392611729463</v>
      </c>
      <c r="ER38" s="1">
        <f t="shared" si="34"/>
        <v>9.9453707999667156</v>
      </c>
      <c r="ES38" s="1">
        <f t="shared" si="34"/>
        <v>9.3928501999685636</v>
      </c>
      <c r="ET38" s="1">
        <f t="shared" si="34"/>
        <v>8.8710251888591998</v>
      </c>
      <c r="EU38" s="1">
        <f t="shared" si="34"/>
        <v>8.3781904561448002</v>
      </c>
      <c r="EV38" s="1">
        <f t="shared" si="34"/>
        <v>7.9127354308034219</v>
      </c>
      <c r="EW38" s="1">
        <f t="shared" si="34"/>
        <v>7.4731390179810093</v>
      </c>
      <c r="EX38" s="1">
        <f t="shared" si="34"/>
        <v>7.057964628093174</v>
      </c>
      <c r="EY38" s="1">
        <f t="shared" si="34"/>
        <v>6.6658554820879976</v>
      </c>
      <c r="EZ38" s="1">
        <f t="shared" si="34"/>
        <v>6.295530177527553</v>
      </c>
      <c r="FA38" s="1">
        <f t="shared" ref="FA38:HL38" si="35">+FA35/(1+$AM$42)^FA1</f>
        <v>5.9457785009982445</v>
      </c>
      <c r="FB38" s="1">
        <f t="shared" si="35"/>
        <v>5.6154574731650087</v>
      </c>
      <c r="FC38" s="1">
        <f t="shared" si="35"/>
        <v>5.3034876135447302</v>
      </c>
      <c r="FD38" s="1">
        <f t="shared" si="35"/>
        <v>5.0088494127922454</v>
      </c>
      <c r="FE38" s="1">
        <f t="shared" si="35"/>
        <v>4.7305800009704528</v>
      </c>
      <c r="FF38" s="1">
        <f t="shared" si="35"/>
        <v>4.4677700009165386</v>
      </c>
      <c r="FG38" s="1">
        <f t="shared" si="35"/>
        <v>4.2195605564211762</v>
      </c>
      <c r="FH38" s="1">
        <f t="shared" si="35"/>
        <v>3.9851405255088883</v>
      </c>
      <c r="FI38" s="1">
        <f t="shared" si="35"/>
        <v>3.7637438296472832</v>
      </c>
      <c r="FJ38" s="1">
        <f t="shared" si="35"/>
        <v>3.5546469502224345</v>
      </c>
      <c r="FK38" s="1">
        <f t="shared" si="35"/>
        <v>3.3571665640989656</v>
      </c>
      <c r="FL38" s="1">
        <f t="shared" si="35"/>
        <v>3.1706573105379117</v>
      </c>
      <c r="FM38" s="1">
        <f t="shared" si="35"/>
        <v>2.9945096821746935</v>
      </c>
      <c r="FN38" s="1">
        <f t="shared" si="35"/>
        <v>2.8281480331649882</v>
      </c>
      <c r="FO38" s="1">
        <f t="shared" si="35"/>
        <v>2.6710286979891555</v>
      </c>
      <c r="FP38" s="1">
        <f t="shared" si="35"/>
        <v>2.5226382147675364</v>
      </c>
      <c r="FQ38" s="1">
        <f t="shared" si="35"/>
        <v>2.3824916472804509</v>
      </c>
      <c r="FR38" s="1">
        <f t="shared" si="35"/>
        <v>2.2501310002093144</v>
      </c>
      <c r="FS38" s="1">
        <f t="shared" si="35"/>
        <v>2.1251237224199082</v>
      </c>
      <c r="FT38" s="1">
        <f t="shared" si="35"/>
        <v>2.0070612933965801</v>
      </c>
      <c r="FU38" s="1">
        <f t="shared" si="35"/>
        <v>1.895557888207881</v>
      </c>
      <c r="FV38" s="1">
        <f t="shared" si="35"/>
        <v>1.7902491166407766</v>
      </c>
      <c r="FW38" s="1">
        <f t="shared" si="35"/>
        <v>1.6907908323829559</v>
      </c>
      <c r="FX38" s="1">
        <f t="shared" si="35"/>
        <v>1.5968580083616801</v>
      </c>
      <c r="FY38" s="1">
        <f t="shared" si="35"/>
        <v>1.5081436745638093</v>
      </c>
      <c r="FZ38" s="1">
        <f t="shared" si="35"/>
        <v>1.4243579148658199</v>
      </c>
      <c r="GA38" s="1">
        <f t="shared" si="35"/>
        <v>1.3452269195954965</v>
      </c>
      <c r="GB38" s="1">
        <f t="shared" si="35"/>
        <v>1.27049209072908</v>
      </c>
      <c r="GC38" s="1">
        <f t="shared" si="35"/>
        <v>1.1999091967996867</v>
      </c>
      <c r="GD38" s="1">
        <f t="shared" si="35"/>
        <v>1.1332475747552593</v>
      </c>
      <c r="GE38" s="1">
        <f t="shared" si="35"/>
        <v>1.070289376157745</v>
      </c>
      <c r="GF38" s="1">
        <f t="shared" si="35"/>
        <v>1.0108288552600926</v>
      </c>
      <c r="GG38" s="1">
        <f t="shared" si="35"/>
        <v>0.95467169663453177</v>
      </c>
      <c r="GH38" s="1">
        <f t="shared" si="35"/>
        <v>0.90163438015483544</v>
      </c>
      <c r="GI38" s="1">
        <f t="shared" si="35"/>
        <v>0.85154358125734453</v>
      </c>
      <c r="GJ38" s="1">
        <f t="shared" si="35"/>
        <v>0.80423560452082543</v>
      </c>
      <c r="GK38" s="1">
        <f t="shared" si="35"/>
        <v>0.75955584871411286</v>
      </c>
      <c r="GL38" s="1">
        <f t="shared" si="35"/>
        <v>0.71735830156332892</v>
      </c>
      <c r="GM38" s="1">
        <f t="shared" si="35"/>
        <v>0.67750506258758836</v>
      </c>
      <c r="GN38" s="1">
        <f t="shared" si="35"/>
        <v>0.63986589244383341</v>
      </c>
      <c r="GO38" s="1">
        <f t="shared" si="35"/>
        <v>0.60431778730806507</v>
      </c>
      <c r="GP38" s="1">
        <f t="shared" si="35"/>
        <v>0.57074457690206137</v>
      </c>
      <c r="GQ38" s="1">
        <f t="shared" si="35"/>
        <v>0.53903654485194685</v>
      </c>
      <c r="GR38" s="1">
        <f t="shared" si="35"/>
        <v>0.50909007013794982</v>
      </c>
      <c r="GS38" s="1">
        <f t="shared" si="35"/>
        <v>0.48080728846361914</v>
      </c>
      <c r="GT38" s="1">
        <f t="shared" si="35"/>
        <v>0.45409577243786248</v>
      </c>
      <c r="GU38" s="1">
        <f t="shared" si="35"/>
        <v>0.42886822952464798</v>
      </c>
      <c r="GV38" s="1">
        <f t="shared" si="35"/>
        <v>0.40504221677327856</v>
      </c>
      <c r="GW38" s="1">
        <f t="shared" si="35"/>
        <v>0.38253987139698525</v>
      </c>
      <c r="GX38" s="1">
        <f t="shared" si="35"/>
        <v>0.36128765631937493</v>
      </c>
      <c r="GY38" s="1">
        <f t="shared" si="35"/>
        <v>0.34121611985718747</v>
      </c>
      <c r="GZ38" s="1">
        <f t="shared" si="35"/>
        <v>0.32225966875401046</v>
      </c>
      <c r="HA38" s="1">
        <f t="shared" si="35"/>
        <v>0.30435635382323195</v>
      </c>
      <c r="HB38" s="1">
        <f t="shared" si="35"/>
        <v>0.28744766749971906</v>
      </c>
      <c r="HC38" s="1">
        <f t="shared" si="35"/>
        <v>0.27147835263862358</v>
      </c>
      <c r="HD38" s="1">
        <f t="shared" si="35"/>
        <v>0.25639622193647782</v>
      </c>
      <c r="HE38" s="1">
        <f t="shared" si="35"/>
        <v>0.24215198738445129</v>
      </c>
      <c r="HF38" s="1">
        <f t="shared" si="35"/>
        <v>0.22869909919642623</v>
      </c>
      <c r="HG38" s="1">
        <f t="shared" si="35"/>
        <v>0.21599359368551366</v>
      </c>
      <c r="HH38" s="1">
        <f t="shared" si="35"/>
        <v>0.20399394959187403</v>
      </c>
      <c r="HI38" s="1">
        <f t="shared" si="35"/>
        <v>0.19266095239232542</v>
      </c>
      <c r="HJ38" s="1">
        <f t="shared" si="35"/>
        <v>0.1819575661483073</v>
      </c>
      <c r="HK38" s="1">
        <f t="shared" si="35"/>
        <v>0.17184881247340136</v>
      </c>
      <c r="HL38" s="1">
        <f t="shared" si="35"/>
        <v>0.16230165622487905</v>
      </c>
      <c r="HM38" s="1">
        <f t="shared" ref="HM38:HS38" si="36">+HM35/(1+$AM$42)^HM1</f>
        <v>0.15328489754571911</v>
      </c>
      <c r="HN38" s="1">
        <f t="shared" si="36"/>
        <v>0.14476906990429025</v>
      </c>
      <c r="HO38" s="1">
        <f t="shared" si="36"/>
        <v>0.13672634379849635</v>
      </c>
      <c r="HP38" s="1">
        <f t="shared" si="36"/>
        <v>0.129130435809691</v>
      </c>
      <c r="HQ38" s="1">
        <f t="shared" si="36"/>
        <v>0.12195652270915258</v>
      </c>
      <c r="HR38" s="1">
        <f t="shared" si="36"/>
        <v>0.11518116033642189</v>
      </c>
      <c r="HS38" s="1">
        <f t="shared" si="36"/>
        <v>0.10878220698439844</v>
      </c>
    </row>
    <row r="39" spans="2:227" x14ac:dyDescent="0.2">
      <c r="B39" s="1" t="s">
        <v>30</v>
      </c>
    </row>
    <row r="40" spans="2:227" s="6" customFormat="1" x14ac:dyDescent="0.2">
      <c r="B40" s="6" t="s">
        <v>18</v>
      </c>
      <c r="C40" s="14"/>
      <c r="D40" s="14"/>
      <c r="E40" s="14"/>
      <c r="F40" s="14"/>
      <c r="G40" s="17">
        <f>+G25/C25-1</f>
        <v>6.8435962427314756E-2</v>
      </c>
      <c r="H40" s="17">
        <f>+H25/D25-1</f>
        <v>6.831176647607573E-2</v>
      </c>
      <c r="I40" s="17">
        <f>+I25/E25-1</f>
        <v>7.730894069046923E-2</v>
      </c>
      <c r="J40" s="21">
        <f>+J25/F25-1</f>
        <v>-3.4776437189496079E-2</v>
      </c>
      <c r="K40" s="21">
        <f>+K25/G25-1</f>
        <v>-4.4097125313982688E-2</v>
      </c>
      <c r="L40" s="17">
        <f>+L25/H25-1</f>
        <v>3.0000000000000027E-2</v>
      </c>
      <c r="M40" s="17">
        <f>+M25/I25-1</f>
        <v>8.0000000000000071E-2</v>
      </c>
      <c r="N40" s="17">
        <f>+N25/J25-1</f>
        <v>8.0000000000000071E-2</v>
      </c>
      <c r="X40" s="7">
        <f>+X25/W25-1</f>
        <v>0.11802454147335562</v>
      </c>
      <c r="Y40" s="7">
        <f>+Y25/X25-1</f>
        <v>2.8388598022105915E-2</v>
      </c>
      <c r="Z40" s="7">
        <f>+Z25/Y25-1</f>
        <v>2.4851981747558094E-2</v>
      </c>
      <c r="AA40" s="7">
        <f>+AA25/Z25-1</f>
        <v>4.3862231380630057E-2</v>
      </c>
      <c r="AB40" s="7">
        <f t="shared" ref="AB40:AJ40" si="37">+AB25/AA25-1</f>
        <v>3.6137901861252208E-2</v>
      </c>
      <c r="AC40" s="7">
        <f t="shared" si="37"/>
        <v>4.0000000000000036E-2</v>
      </c>
      <c r="AD40" s="7">
        <f t="shared" si="37"/>
        <v>4.0000000000000036E-2</v>
      </c>
      <c r="AE40" s="7">
        <f t="shared" si="37"/>
        <v>4.0000000000000036E-2</v>
      </c>
      <c r="AF40" s="7">
        <f t="shared" si="37"/>
        <v>4.0000000000000036E-2</v>
      </c>
      <c r="AG40" s="7">
        <f t="shared" si="37"/>
        <v>4.0000000000000036E-2</v>
      </c>
      <c r="AH40" s="7">
        <f t="shared" si="37"/>
        <v>4.0000000000000036E-2</v>
      </c>
      <c r="AI40" s="7">
        <f t="shared" si="37"/>
        <v>4.0000000000000036E-2</v>
      </c>
      <c r="AJ40" s="7">
        <f t="shared" si="37"/>
        <v>4.0000000000000036E-2</v>
      </c>
      <c r="AL40" s="6" t="s">
        <v>65</v>
      </c>
      <c r="AM40" s="7">
        <v>0.03</v>
      </c>
    </row>
    <row r="41" spans="2:227" s="4" customFormat="1" x14ac:dyDescent="0.2">
      <c r="B41" s="4" t="s">
        <v>34</v>
      </c>
      <c r="C41" s="13"/>
      <c r="D41" s="13"/>
      <c r="E41" s="13"/>
      <c r="F41" s="13"/>
      <c r="G41" s="17">
        <f>+G21/C21-1</f>
        <v>9.1057241800774014E-2</v>
      </c>
      <c r="H41" s="17">
        <f>+H21/D21-1</f>
        <v>7.2230157110793725E-2</v>
      </c>
      <c r="I41" s="17">
        <f>+I21/E21-1</f>
        <v>0.10215272136474418</v>
      </c>
      <c r="J41" s="17">
        <f>+J21/F21-1</f>
        <v>-8.0548580258837155E-2</v>
      </c>
      <c r="K41" s="17">
        <f>+K21/G21-1</f>
        <v>-4.4097125313982688E-2</v>
      </c>
      <c r="X41" s="4">
        <f>+X21/W21-1</f>
        <v>0.15418150558762123</v>
      </c>
      <c r="Y41" s="4">
        <f>+Y21/X21-1</f>
        <v>4.7933180826727595E-2</v>
      </c>
      <c r="Z41" s="4">
        <f>+Z21/Y21-1</f>
        <v>1.0813280536094982E-2</v>
      </c>
      <c r="AA41" s="4">
        <f>+AA21/Z21-1</f>
        <v>4.4548239666515999E-2</v>
      </c>
      <c r="AL41" s="4" t="s">
        <v>54</v>
      </c>
      <c r="AM41" s="19">
        <v>0.02</v>
      </c>
    </row>
    <row r="42" spans="2:227" s="4" customFormat="1" x14ac:dyDescent="0.2">
      <c r="B42" s="4" t="s">
        <v>35</v>
      </c>
      <c r="C42" s="13"/>
      <c r="D42" s="13"/>
      <c r="E42" s="13"/>
      <c r="F42" s="13"/>
      <c r="G42" s="13">
        <f>+G22/C22-1</f>
        <v>7.9945799457994626E-2</v>
      </c>
      <c r="H42" s="13">
        <f>+H22/D22-1</f>
        <v>2.3529411764705799E-2</v>
      </c>
      <c r="I42" s="13">
        <f>+I22/E22-1</f>
        <v>1.2658227848101333E-2</v>
      </c>
      <c r="J42" s="13">
        <f>+J22/F22-1</f>
        <v>-8.5417937766930629E-3</v>
      </c>
      <c r="K42" s="13">
        <f>+K22/G22-1</f>
        <v>-4.4097125313982688E-2</v>
      </c>
      <c r="X42" s="4">
        <f t="shared" ref="X42" si="38">+X22/W22-1</f>
        <v>0.10572511470177548</v>
      </c>
      <c r="Y42" s="4">
        <f t="shared" ref="Y42:Z44" si="39">+Y22/X22-1</f>
        <v>3.4097059354140313E-2</v>
      </c>
      <c r="Z42" s="4">
        <f t="shared" si="39"/>
        <v>8.6008374040474456E-2</v>
      </c>
      <c r="AA42" s="4">
        <f t="shared" ref="AA42" si="40">+AA22/Z22-1</f>
        <v>2.5702811244979973E-2</v>
      </c>
      <c r="AL42" s="4" t="s">
        <v>55</v>
      </c>
      <c r="AM42" s="19">
        <v>0.08</v>
      </c>
    </row>
    <row r="43" spans="2:227" s="4" customFormat="1" x14ac:dyDescent="0.2">
      <c r="B43" s="4" t="s">
        <v>36</v>
      </c>
      <c r="C43" s="13"/>
      <c r="D43" s="13"/>
      <c r="E43" s="13"/>
      <c r="F43" s="13"/>
      <c r="G43" s="13">
        <f>+G23/C23-1</f>
        <v>-0.25</v>
      </c>
      <c r="H43" s="13">
        <f>+H23/D23-1</f>
        <v>0.44692737430167595</v>
      </c>
      <c r="I43" s="13">
        <f>+I23/E23-1</f>
        <v>4.7808764940239001E-2</v>
      </c>
      <c r="J43" s="13">
        <f>+J23/F23-1</f>
        <v>-1</v>
      </c>
      <c r="K43" s="13">
        <f>+K23/G23-1</f>
        <v>-4.4097125313982799E-2</v>
      </c>
      <c r="X43" s="4">
        <f t="shared" ref="X43" si="41">+X23/W23-1</f>
        <v>-0.18543451652386778</v>
      </c>
      <c r="Y43" s="4">
        <f t="shared" si="39"/>
        <v>-0.34785875281743051</v>
      </c>
      <c r="Z43" s="4">
        <f t="shared" si="39"/>
        <v>1.9585253456221308E-2</v>
      </c>
      <c r="AA43" s="4">
        <f t="shared" ref="AA43" si="42">+AA23/Z23-1</f>
        <v>-0.20338983050847459</v>
      </c>
      <c r="AL43" s="4" t="s">
        <v>56</v>
      </c>
      <c r="AM43" s="38">
        <f>NPV(AM42,AB35:HS35)</f>
        <v>160824.90395161041</v>
      </c>
    </row>
    <row r="44" spans="2:227" s="4" customFormat="1" x14ac:dyDescent="0.2">
      <c r="B44" s="4" t="s">
        <v>37</v>
      </c>
      <c r="C44" s="13"/>
      <c r="D44" s="13"/>
      <c r="E44" s="13"/>
      <c r="F44" s="13"/>
      <c r="G44" s="13">
        <f>+G24/C24-1</f>
        <v>-0.57692307692307687</v>
      </c>
      <c r="H44" s="13">
        <f>+H24/D24-1</f>
        <v>-0.44444444444444442</v>
      </c>
      <c r="I44" s="13">
        <f>+I24/E24-1</f>
        <v>-0.47826086956521741</v>
      </c>
      <c r="J44" s="13">
        <f>+J24/F24-1</f>
        <v>-1</v>
      </c>
      <c r="K44" s="13">
        <f>+K24/G24-1</f>
        <v>-4.4097125313982688E-2</v>
      </c>
      <c r="X44" s="4">
        <f t="shared" ref="X44" si="43">+X24/W24-1</f>
        <v>-0.12307692307692308</v>
      </c>
      <c r="Y44" s="4">
        <f t="shared" si="39"/>
        <v>0.92105263157894735</v>
      </c>
      <c r="Z44" s="4">
        <f t="shared" si="39"/>
        <v>-0.29223744292237441</v>
      </c>
      <c r="AA44" s="4">
        <f t="shared" ref="AA44" si="44">+AA24/Z24-1</f>
        <v>-0.58064516129032251</v>
      </c>
      <c r="AL44" s="4" t="s">
        <v>60</v>
      </c>
      <c r="AM44" s="2">
        <f>+Main!K4</f>
        <v>798</v>
      </c>
    </row>
    <row r="45" spans="2:227" x14ac:dyDescent="0.2">
      <c r="B45" s="1" t="s">
        <v>3</v>
      </c>
      <c r="G45" s="13">
        <f>+G26/C26-1</f>
        <v>4.7673422780473818E-2</v>
      </c>
      <c r="H45" s="13">
        <f>+H26/D26-1</f>
        <v>3.4926996850844549E-2</v>
      </c>
      <c r="I45" s="13">
        <f>+I26/E26-1</f>
        <v>4.673943464875463E-2</v>
      </c>
      <c r="J45" s="13">
        <f>+J26/F26-1</f>
        <v>-4.7169811320754707E-2</v>
      </c>
      <c r="K45" s="13">
        <f>+K26/G26-1</f>
        <v>-4.4097125313982688E-2</v>
      </c>
      <c r="AL45" s="6" t="s">
        <v>61</v>
      </c>
      <c r="AM45" s="6">
        <f>+AM43/AM44</f>
        <v>201.53496735790779</v>
      </c>
    </row>
    <row r="46" spans="2:227" x14ac:dyDescent="0.2">
      <c r="B46" s="1" t="s">
        <v>33</v>
      </c>
      <c r="H46" s="13"/>
      <c r="I46" s="13"/>
      <c r="AL46" s="1" t="s">
        <v>62</v>
      </c>
      <c r="AM46" s="1">
        <f>+Main!K3</f>
        <v>230.29</v>
      </c>
    </row>
    <row r="47" spans="2:227" s="4" customFormat="1" x14ac:dyDescent="0.2">
      <c r="B47" s="4" t="s">
        <v>31</v>
      </c>
      <c r="C47" s="13">
        <f>(C25-C26)/C25</f>
        <v>0.47770985537498134</v>
      </c>
      <c r="D47" s="13">
        <f>(D25-D26)/D25</f>
        <v>0.47442070418296722</v>
      </c>
      <c r="E47" s="13">
        <f>(E25-E26)/E25</f>
        <v>0.47285334907052229</v>
      </c>
      <c r="F47" s="13">
        <f>(F25-F26)/F25</f>
        <v>0.47338537970191624</v>
      </c>
      <c r="G47" s="13">
        <f>(G25-G26)/G25</f>
        <v>0.487859335752163</v>
      </c>
      <c r="H47" s="13">
        <f>(H25-H26)/H25</f>
        <v>0.49084507042253522</v>
      </c>
      <c r="I47" s="13">
        <f>(I25-I26)/I25</f>
        <v>0.48781155847712954</v>
      </c>
      <c r="J47" s="13">
        <f>(J25-J26)/J25</f>
        <v>0.48014705882352943</v>
      </c>
      <c r="K47" s="13">
        <f>(K25-K26)/K25</f>
        <v>0.487859335752163</v>
      </c>
      <c r="L47" s="13">
        <f t="shared" ref="L47:N47" si="45">(L25-L26)/L25</f>
        <v>0.49084507042253522</v>
      </c>
      <c r="M47" s="13">
        <f t="shared" si="45"/>
        <v>0.48781155847712954</v>
      </c>
      <c r="N47" s="13">
        <f t="shared" si="45"/>
        <v>0.48014705882352937</v>
      </c>
      <c r="X47" s="4">
        <f>(X25-X26)/X25</f>
        <v>0.46511537715726198</v>
      </c>
      <c r="Y47" s="4">
        <f t="shared" ref="Y47:Z47" si="46">(Y25-Y26)/Y25</f>
        <v>0.46702115623939361</v>
      </c>
      <c r="Z47" s="4">
        <f t="shared" si="46"/>
        <v>0.47457315278186635</v>
      </c>
      <c r="AA47" s="4">
        <f t="shared" ref="AA47:AB47" si="47">(AA25-AA26)/AA25</f>
        <v>0.48674562887760858</v>
      </c>
      <c r="AB47" s="4">
        <f t="shared" si="47"/>
        <v>0.48666242247864178</v>
      </c>
      <c r="AC47" s="4">
        <f t="shared" ref="AC47:AJ47" si="48">(AC25-AC26)/AC25</f>
        <v>0.48666242247864178</v>
      </c>
      <c r="AD47" s="4">
        <f t="shared" si="48"/>
        <v>0.48666242247864178</v>
      </c>
      <c r="AE47" s="4">
        <f t="shared" si="48"/>
        <v>0.48666242247864178</v>
      </c>
      <c r="AF47" s="4">
        <f t="shared" si="48"/>
        <v>0.48666242247864172</v>
      </c>
      <c r="AG47" s="4">
        <f t="shared" si="48"/>
        <v>0.48666242247864178</v>
      </c>
      <c r="AH47" s="4">
        <f t="shared" si="48"/>
        <v>0.48666242247864183</v>
      </c>
      <c r="AI47" s="4">
        <f t="shared" si="48"/>
        <v>0.48666242247864183</v>
      </c>
      <c r="AJ47" s="4">
        <f t="shared" si="48"/>
        <v>0.48666242247864178</v>
      </c>
      <c r="AL47" s="4" t="s">
        <v>63</v>
      </c>
      <c r="AM47" s="4">
        <f>+AM45/AM46-1</f>
        <v>-0.12486444327626989</v>
      </c>
    </row>
    <row r="48" spans="2:227" s="4" customFormat="1" x14ac:dyDescent="0.2">
      <c r="B48" s="4" t="s">
        <v>32</v>
      </c>
      <c r="C48" s="13">
        <f>+C30/C25</f>
        <v>0.29327568212315491</v>
      </c>
      <c r="D48" s="13">
        <f>+D30/D25</f>
        <v>0.28769184471862774</v>
      </c>
      <c r="E48" s="13">
        <f>+E30/E25</f>
        <v>0.28651519622307464</v>
      </c>
      <c r="F48" s="13">
        <f>+F30/F25</f>
        <v>0.29041873669268986</v>
      </c>
      <c r="G48" s="13">
        <f>+G30/G25</f>
        <v>0.30351660619592519</v>
      </c>
      <c r="H48" s="13">
        <f>+H30/H25</f>
        <v>0.30549295774647889</v>
      </c>
      <c r="I48" s="13">
        <f>+I30/I25</f>
        <v>0.30580662832100797</v>
      </c>
      <c r="J48" s="13">
        <f>+J30/J25</f>
        <v>0.27838235294117647</v>
      </c>
      <c r="K48" s="13">
        <f>+K30/K25</f>
        <v>0.30351660619592524</v>
      </c>
      <c r="L48" s="13">
        <f t="shared" ref="L48:N48" si="49">+L30/L25</f>
        <v>0.30549295774647894</v>
      </c>
      <c r="M48" s="13">
        <f t="shared" si="49"/>
        <v>0.30580662832100797</v>
      </c>
      <c r="N48" s="13">
        <f t="shared" si="49"/>
        <v>0.27838235294117636</v>
      </c>
      <c r="X48" s="4">
        <f>+X30/X25</f>
        <v>0.30188093853015319</v>
      </c>
      <c r="Y48" s="4">
        <f t="shared" ref="Y48:Z48" si="50">+Y30/Y25</f>
        <v>0.28864502017573634</v>
      </c>
      <c r="Z48" s="4">
        <f t="shared" si="50"/>
        <v>0.28948336767736238</v>
      </c>
      <c r="AA48" s="4">
        <f t="shared" ref="AA48:AB48" si="51">+AA30/AA25</f>
        <v>0.29857586012408349</v>
      </c>
      <c r="AB48" s="4">
        <f t="shared" si="51"/>
        <v>0.2983428373282111</v>
      </c>
      <c r="AC48" s="4">
        <f t="shared" ref="AC48:AJ48" si="52">+AC30/AC25</f>
        <v>0.29834283732821137</v>
      </c>
      <c r="AD48" s="4">
        <f t="shared" si="52"/>
        <v>0.29834283732821132</v>
      </c>
      <c r="AE48" s="4">
        <f t="shared" si="52"/>
        <v>0.29834283732821121</v>
      </c>
      <c r="AF48" s="4">
        <f t="shared" si="52"/>
        <v>0.29834283732821121</v>
      </c>
      <c r="AG48" s="4">
        <f t="shared" si="52"/>
        <v>0.29834283732821121</v>
      </c>
      <c r="AH48" s="4">
        <f t="shared" si="52"/>
        <v>0.29834283732821126</v>
      </c>
      <c r="AI48" s="4">
        <f t="shared" si="52"/>
        <v>0.29834283732821132</v>
      </c>
      <c r="AJ48" s="4">
        <f t="shared" si="52"/>
        <v>0.29834283732821121</v>
      </c>
    </row>
    <row r="49" spans="2:40" x14ac:dyDescent="0.2">
      <c r="AL49" s="1" t="s">
        <v>133</v>
      </c>
      <c r="AM49" s="34">
        <f>+Main!$K$8 /Model!AB35</f>
        <v>20.998068824185157</v>
      </c>
    </row>
    <row r="50" spans="2:40" x14ac:dyDescent="0.2">
      <c r="B50" s="1" t="s">
        <v>19</v>
      </c>
      <c r="C50" s="13">
        <f>+C27/C$25</f>
        <v>0.11241985984792008</v>
      </c>
      <c r="D50" s="13">
        <f t="shared" ref="D50:N50" si="53">+D27/D$25</f>
        <v>0.11811616009629852</v>
      </c>
      <c r="E50" s="13">
        <f t="shared" si="53"/>
        <v>0.12334021835349661</v>
      </c>
      <c r="F50" s="13">
        <f t="shared" si="53"/>
        <v>0.12178850248403122</v>
      </c>
      <c r="G50" s="13">
        <f t="shared" si="53"/>
        <v>0.11987161596427574</v>
      </c>
      <c r="H50" s="13">
        <f t="shared" si="53"/>
        <v>0.12577464788732395</v>
      </c>
      <c r="I50" s="13">
        <f t="shared" si="53"/>
        <v>0.12339085182141879</v>
      </c>
      <c r="J50" s="13">
        <f t="shared" si="53"/>
        <v>0.13485294117647059</v>
      </c>
      <c r="K50" s="13">
        <f t="shared" si="53"/>
        <v>0.11987161596427574</v>
      </c>
      <c r="L50" s="13">
        <f t="shared" si="53"/>
        <v>0.12577464788732395</v>
      </c>
      <c r="M50" s="13">
        <f t="shared" si="53"/>
        <v>0.1233908518214188</v>
      </c>
      <c r="N50" s="13">
        <f t="shared" si="53"/>
        <v>0.13485294117647059</v>
      </c>
      <c r="W50" s="13">
        <f t="shared" ref="W50:AE50" si="54">+W27/W$25</f>
        <v>0.10774834149937129</v>
      </c>
      <c r="X50" s="13">
        <f t="shared" si="54"/>
        <v>0.10746558076401008</v>
      </c>
      <c r="Y50" s="13">
        <f t="shared" si="54"/>
        <v>0.11698155899988687</v>
      </c>
      <c r="Z50" s="13">
        <f t="shared" si="54"/>
        <v>0.11896526346776568</v>
      </c>
      <c r="AA50" s="13">
        <f t="shared" si="54"/>
        <v>0.12584602368866329</v>
      </c>
      <c r="AB50" s="13">
        <f t="shared" si="54"/>
        <v>0.12602763940165976</v>
      </c>
      <c r="AC50" s="13">
        <f t="shared" si="54"/>
        <v>0.12602763940165976</v>
      </c>
      <c r="AD50" s="13">
        <f t="shared" si="54"/>
        <v>0.12602763940165976</v>
      </c>
      <c r="AE50" s="13">
        <f t="shared" si="54"/>
        <v>0.12602763940165976</v>
      </c>
      <c r="AL50" s="1" t="s">
        <v>134</v>
      </c>
      <c r="AM50" s="35">
        <f>+Main!$K$8 /Model!AC35</f>
        <v>22.861851621790279</v>
      </c>
    </row>
    <row r="51" spans="2:40" x14ac:dyDescent="0.2">
      <c r="B51" s="1" t="s">
        <v>20</v>
      </c>
      <c r="C51" s="13">
        <f>+C28/C$25</f>
        <v>3.0863277173102728E-2</v>
      </c>
      <c r="D51" s="13">
        <f t="shared" ref="D51:N51" si="55">+D28/D$25</f>
        <v>3.1447487210352093E-2</v>
      </c>
      <c r="E51" s="13">
        <f t="shared" si="55"/>
        <v>3.0244910002950723E-2</v>
      </c>
      <c r="F51" s="13">
        <f t="shared" si="55"/>
        <v>3.0518097941802696E-2</v>
      </c>
      <c r="G51" s="13">
        <f t="shared" si="55"/>
        <v>2.8746860173039353E-2</v>
      </c>
      <c r="H51" s="13">
        <f t="shared" si="55"/>
        <v>3.0422535211267605E-2</v>
      </c>
      <c r="I51" s="13">
        <f t="shared" si="55"/>
        <v>3.0676526978909886E-2</v>
      </c>
      <c r="J51" s="13">
        <f t="shared" si="55"/>
        <v>3.1176470588235295E-2</v>
      </c>
      <c r="K51" s="13">
        <f t="shared" si="55"/>
        <v>2.8746860173039353E-2</v>
      </c>
      <c r="L51" s="13">
        <f t="shared" si="55"/>
        <v>3.0422535211267605E-2</v>
      </c>
      <c r="M51" s="13">
        <f t="shared" si="55"/>
        <v>3.0676526978909886E-2</v>
      </c>
      <c r="N51" s="13">
        <f t="shared" si="55"/>
        <v>3.1176470588235295E-2</v>
      </c>
      <c r="W51" s="13">
        <f t="shared" ref="W51:AE51" si="56">+W28/W$25</f>
        <v>2.640593157871916E-2</v>
      </c>
      <c r="X51" s="13">
        <f t="shared" si="56"/>
        <v>2.7263913127787472E-2</v>
      </c>
      <c r="Y51" s="13">
        <f t="shared" si="56"/>
        <v>2.9264245578308257E-2</v>
      </c>
      <c r="Z51" s="13">
        <f t="shared" si="56"/>
        <v>3.0762437444804239E-2</v>
      </c>
      <c r="AA51" s="13">
        <f t="shared" si="56"/>
        <v>3.0245346869712354E-2</v>
      </c>
      <c r="AB51" s="13">
        <f t="shared" si="56"/>
        <v>3.0288543055095801E-2</v>
      </c>
      <c r="AC51" s="13">
        <f t="shared" si="56"/>
        <v>3.0288543055095801E-2</v>
      </c>
      <c r="AD51" s="13">
        <f t="shared" si="56"/>
        <v>3.0288543055095801E-2</v>
      </c>
      <c r="AE51" s="13">
        <f t="shared" si="56"/>
        <v>3.0288543055095801E-2</v>
      </c>
    </row>
    <row r="52" spans="2:40" x14ac:dyDescent="0.2">
      <c r="B52" s="1" t="s">
        <v>21</v>
      </c>
      <c r="C52" s="13">
        <f>+C29/C$25</f>
        <v>4.1151036230803635E-2</v>
      </c>
      <c r="D52" s="13">
        <f t="shared" ref="D52:N52" si="57">+D29/D$25</f>
        <v>3.7165212157688837E-2</v>
      </c>
      <c r="E52" s="13">
        <f t="shared" si="57"/>
        <v>3.2753024491000295E-2</v>
      </c>
      <c r="F52" s="13">
        <f t="shared" si="57"/>
        <v>3.0660042583392479E-2</v>
      </c>
      <c r="G52" s="13">
        <f t="shared" si="57"/>
        <v>3.5724253418922693E-2</v>
      </c>
      <c r="H52" s="13">
        <f t="shared" si="57"/>
        <v>2.9154929577464787E-2</v>
      </c>
      <c r="I52" s="13">
        <f t="shared" si="57"/>
        <v>2.7937551355792935E-2</v>
      </c>
      <c r="J52" s="13">
        <f t="shared" si="57"/>
        <v>3.573529411764706E-2</v>
      </c>
      <c r="K52" s="13">
        <f t="shared" si="57"/>
        <v>3.5724253418922693E-2</v>
      </c>
      <c r="L52" s="13">
        <f t="shared" si="57"/>
        <v>2.9154929577464787E-2</v>
      </c>
      <c r="M52" s="13">
        <f t="shared" si="57"/>
        <v>2.7937551355792935E-2</v>
      </c>
      <c r="N52" s="13">
        <f t="shared" si="57"/>
        <v>3.573529411764706E-2</v>
      </c>
      <c r="W52" s="13">
        <f t="shared" ref="W52:AE52" si="58">+W29/W$25</f>
        <v>2.6882886007891429E-2</v>
      </c>
      <c r="X52" s="13">
        <f t="shared" si="58"/>
        <v>2.8504944735311226E-2</v>
      </c>
      <c r="Y52" s="13">
        <f t="shared" si="58"/>
        <v>3.2130331485462155E-2</v>
      </c>
      <c r="Z52" s="13">
        <f t="shared" si="58"/>
        <v>3.5362084191934061E-2</v>
      </c>
      <c r="AA52" s="13">
        <f t="shared" si="58"/>
        <v>3.2078398195149467E-2</v>
      </c>
      <c r="AB52" s="13">
        <f t="shared" si="58"/>
        <v>3.2003402693675007E-2</v>
      </c>
      <c r="AC52" s="13">
        <f t="shared" si="58"/>
        <v>3.2003402693675007E-2</v>
      </c>
      <c r="AD52" s="13">
        <f t="shared" si="58"/>
        <v>3.2003402693675007E-2</v>
      </c>
      <c r="AE52" s="13">
        <f t="shared" si="58"/>
        <v>3.2003402693675007E-2</v>
      </c>
      <c r="AL52" s="1" t="s">
        <v>135</v>
      </c>
    </row>
    <row r="53" spans="2:40" x14ac:dyDescent="0.2">
      <c r="AL53" s="1" t="s">
        <v>136</v>
      </c>
      <c r="AM53" s="1">
        <v>300</v>
      </c>
      <c r="AN53" s="9">
        <v>45975</v>
      </c>
    </row>
    <row r="54" spans="2:40" x14ac:dyDescent="0.2">
      <c r="AL54" s="1" t="s">
        <v>137</v>
      </c>
      <c r="AM54" s="1">
        <v>255</v>
      </c>
      <c r="AN54" s="9">
        <v>45975</v>
      </c>
    </row>
    <row r="55" spans="2:40" s="6" customFormat="1" x14ac:dyDescent="0.2">
      <c r="B55" s="6" t="s">
        <v>66</v>
      </c>
      <c r="C55" s="14"/>
      <c r="D55" s="14"/>
      <c r="E55" s="14"/>
      <c r="F55" s="14">
        <f t="shared" ref="F55:J55" si="59">+F80</f>
        <v>3211</v>
      </c>
      <c r="G55" s="14">
        <f t="shared" si="59"/>
        <v>2098</v>
      </c>
      <c r="H55" s="14">
        <f t="shared" si="59"/>
        <v>4142</v>
      </c>
      <c r="I55" s="14">
        <f t="shared" si="59"/>
        <v>5273</v>
      </c>
      <c r="J55" s="14">
        <f>+J80</f>
        <v>4289</v>
      </c>
      <c r="AA55" s="6">
        <f>+J55</f>
        <v>4289</v>
      </c>
      <c r="AB55" s="6">
        <f>+AA55+AB35</f>
        <v>12836.567945547245</v>
      </c>
      <c r="AC55" s="6">
        <f t="shared" ref="AC55:AJ55" si="60">+AB55+AC35</f>
        <v>20687.306502039763</v>
      </c>
      <c r="AD55" s="6">
        <f t="shared" si="60"/>
        <v>29043.707192393191</v>
      </c>
      <c r="AE55" s="6">
        <f t="shared" si="60"/>
        <v>37931.962162858479</v>
      </c>
      <c r="AF55" s="6">
        <f t="shared" si="60"/>
        <v>47382.416952166059</v>
      </c>
      <c r="AG55" s="6">
        <f t="shared" si="60"/>
        <v>57423.650475057031</v>
      </c>
      <c r="AH55" s="6">
        <f t="shared" si="60"/>
        <v>68081.799922808685</v>
      </c>
      <c r="AI55" s="6">
        <f t="shared" si="60"/>
        <v>79387.78406492238</v>
      </c>
      <c r="AJ55" s="6">
        <f t="shared" si="60"/>
        <v>91373.836035811619</v>
      </c>
      <c r="AL55" s="6" t="s">
        <v>138</v>
      </c>
      <c r="AM55" s="6">
        <v>250</v>
      </c>
      <c r="AN55" s="36">
        <v>45975</v>
      </c>
    </row>
    <row r="56" spans="2:40" x14ac:dyDescent="0.2">
      <c r="B56" s="1" t="s">
        <v>64</v>
      </c>
      <c r="F56" s="10">
        <v>8022</v>
      </c>
      <c r="G56" s="10">
        <v>6264</v>
      </c>
      <c r="H56" s="10">
        <v>6169</v>
      </c>
      <c r="I56" s="10">
        <v>5384</v>
      </c>
      <c r="J56" s="10">
        <v>7241</v>
      </c>
      <c r="AL56" s="1" t="s">
        <v>139</v>
      </c>
      <c r="AM56" s="1">
        <v>190</v>
      </c>
      <c r="AN56" s="9">
        <v>45975</v>
      </c>
    </row>
    <row r="57" spans="2:40" x14ac:dyDescent="0.2">
      <c r="B57" s="1" t="s">
        <v>67</v>
      </c>
      <c r="F57" s="10">
        <v>1449</v>
      </c>
      <c r="G57" s="10">
        <v>1949</v>
      </c>
      <c r="H57" s="10">
        <v>578</v>
      </c>
      <c r="I57" s="10">
        <v>1630</v>
      </c>
      <c r="J57" s="10">
        <v>1332</v>
      </c>
      <c r="AL57" s="1" t="s">
        <v>140</v>
      </c>
      <c r="AM57" s="1">
        <v>260</v>
      </c>
      <c r="AN57" s="9">
        <v>45975</v>
      </c>
    </row>
    <row r="58" spans="2:40" x14ac:dyDescent="0.2">
      <c r="B58" s="1" t="s">
        <v>68</v>
      </c>
      <c r="F58" s="10">
        <v>5234</v>
      </c>
      <c r="G58" s="10">
        <v>5998</v>
      </c>
      <c r="H58" s="10">
        <v>6187</v>
      </c>
      <c r="I58" s="10">
        <v>5772</v>
      </c>
      <c r="J58" s="10">
        <v>5185</v>
      </c>
      <c r="AL58" s="6" t="s">
        <v>142</v>
      </c>
      <c r="AM58" s="6">
        <f>AVERAGE(AM53:AM57)</f>
        <v>251</v>
      </c>
    </row>
    <row r="59" spans="2:40" x14ac:dyDescent="0.2">
      <c r="B59" s="1" t="s">
        <v>69</v>
      </c>
      <c r="F59" s="10">
        <v>5421</v>
      </c>
      <c r="G59" s="10">
        <v>5501</v>
      </c>
      <c r="H59" s="10">
        <v>5656</v>
      </c>
      <c r="I59" s="10">
        <v>5807</v>
      </c>
      <c r="J59" s="10">
        <v>5915</v>
      </c>
      <c r="AL59" s="1" t="s">
        <v>61</v>
      </c>
      <c r="AM59" s="1">
        <f>+AM45</f>
        <v>201.53496735790779</v>
      </c>
    </row>
    <row r="60" spans="2:40" x14ac:dyDescent="0.2">
      <c r="B60" s="1" t="s">
        <v>70</v>
      </c>
      <c r="F60" s="10">
        <v>1094</v>
      </c>
      <c r="G60" s="10">
        <v>982</v>
      </c>
      <c r="H60" s="10">
        <v>1118</v>
      </c>
      <c r="I60" s="10">
        <v>1125</v>
      </c>
      <c r="J60" s="10">
        <v>1208</v>
      </c>
      <c r="AL60" s="1" t="s">
        <v>141</v>
      </c>
      <c r="AM60" s="4">
        <f>+AM59/AM58-1</f>
        <v>-0.19707184319558646</v>
      </c>
    </row>
    <row r="61" spans="2:40" x14ac:dyDescent="0.2">
      <c r="B61" s="1" t="s">
        <v>71</v>
      </c>
      <c r="F61" s="10">
        <v>2787</v>
      </c>
      <c r="G61" s="10">
        <v>2686</v>
      </c>
      <c r="H61" s="10">
        <v>3638</v>
      </c>
      <c r="I61" s="10">
        <v>4133</v>
      </c>
      <c r="J61" s="10">
        <v>4327</v>
      </c>
    </row>
    <row r="62" spans="2:40" x14ac:dyDescent="0.2">
      <c r="B62" s="1" t="s">
        <v>72</v>
      </c>
      <c r="F62" s="10">
        <v>3339</v>
      </c>
      <c r="G62" s="10">
        <v>3563</v>
      </c>
      <c r="H62" s="10">
        <v>3832</v>
      </c>
      <c r="I62" s="10">
        <v>4124</v>
      </c>
      <c r="J62" s="37">
        <v>4610</v>
      </c>
      <c r="AL62" s="1" t="s">
        <v>143</v>
      </c>
      <c r="AM62" s="1">
        <f>+J75/AM44</f>
        <v>25.582706766917294</v>
      </c>
    </row>
    <row r="63" spans="2:40" x14ac:dyDescent="0.2">
      <c r="B63" s="1" t="s">
        <v>73</v>
      </c>
      <c r="F63" s="10">
        <v>3732</v>
      </c>
      <c r="G63" s="10">
        <v>3768</v>
      </c>
      <c r="H63" s="10">
        <v>3748</v>
      </c>
      <c r="I63" s="10">
        <v>3748</v>
      </c>
      <c r="J63" s="10">
        <v>3707</v>
      </c>
    </row>
    <row r="64" spans="2:40" x14ac:dyDescent="0.2">
      <c r="B64" s="1" t="s">
        <v>74</v>
      </c>
      <c r="F64" s="10">
        <v>249</v>
      </c>
      <c r="G64" s="10">
        <v>237</v>
      </c>
      <c r="H64" s="10">
        <v>249</v>
      </c>
      <c r="I64" s="10">
        <v>238</v>
      </c>
      <c r="J64" s="10">
        <v>226</v>
      </c>
    </row>
    <row r="65" spans="2:10" x14ac:dyDescent="0.2">
      <c r="B65" s="1" t="s">
        <v>75</v>
      </c>
      <c r="F65" s="10">
        <v>3082</v>
      </c>
      <c r="G65" s="10">
        <v>2390</v>
      </c>
      <c r="H65" s="10">
        <v>2457</v>
      </c>
      <c r="I65" s="10">
        <v>2250</v>
      </c>
      <c r="J65" s="10">
        <v>2548</v>
      </c>
    </row>
    <row r="66" spans="2:10" x14ac:dyDescent="0.2">
      <c r="B66" s="1" t="s">
        <v>76</v>
      </c>
      <c r="F66" s="10">
        <f>SUM(F56:F65)</f>
        <v>34409</v>
      </c>
      <c r="G66" s="10">
        <f>SUM(G56:G65)</f>
        <v>33338</v>
      </c>
      <c r="H66" s="10">
        <f>SUM(H56:H65)</f>
        <v>33632</v>
      </c>
      <c r="I66" s="10">
        <f>SUM(I56:I65)</f>
        <v>34211</v>
      </c>
      <c r="J66" s="10">
        <f>SUM(J56:J65)</f>
        <v>36299</v>
      </c>
    </row>
    <row r="68" spans="2:10" x14ac:dyDescent="0.2">
      <c r="B68" s="1" t="s">
        <v>80</v>
      </c>
      <c r="F68" s="10">
        <v>799</v>
      </c>
      <c r="G68" s="10">
        <v>799</v>
      </c>
      <c r="H68" s="10">
        <v>799</v>
      </c>
      <c r="I68" s="10">
        <v>799</v>
      </c>
      <c r="J68" s="10">
        <v>100</v>
      </c>
    </row>
    <row r="69" spans="2:10" x14ac:dyDescent="0.2">
      <c r="B69" s="1" t="s">
        <v>81</v>
      </c>
      <c r="F69" s="10">
        <v>4820</v>
      </c>
      <c r="G69" s="10">
        <v>4485</v>
      </c>
      <c r="H69" s="10">
        <v>4706</v>
      </c>
      <c r="I69" s="10">
        <v>4614</v>
      </c>
      <c r="J69" s="10">
        <v>5333</v>
      </c>
    </row>
    <row r="70" spans="2:10" x14ac:dyDescent="0.2">
      <c r="B70" s="1" t="s">
        <v>82</v>
      </c>
      <c r="F70" s="10">
        <v>2849</v>
      </c>
      <c r="G70" s="10">
        <v>2452</v>
      </c>
      <c r="H70" s="10">
        <v>2491</v>
      </c>
      <c r="I70" s="10">
        <v>2470</v>
      </c>
      <c r="J70" s="10">
        <v>2566</v>
      </c>
    </row>
    <row r="71" spans="2:10" x14ac:dyDescent="0.2">
      <c r="B71" s="1" t="s">
        <v>83</v>
      </c>
      <c r="F71" s="10">
        <v>5460</v>
      </c>
      <c r="G71" s="10">
        <v>7736</v>
      </c>
      <c r="H71" s="10">
        <v>5462</v>
      </c>
      <c r="I71" s="10">
        <v>5463</v>
      </c>
      <c r="J71" s="10">
        <v>6455</v>
      </c>
    </row>
    <row r="72" spans="2:10" x14ac:dyDescent="0.2">
      <c r="B72" s="1" t="s">
        <v>84</v>
      </c>
      <c r="F72" s="10">
        <v>670</v>
      </c>
      <c r="G72" s="10">
        <v>684</v>
      </c>
      <c r="H72" s="10">
        <v>321</v>
      </c>
      <c r="I72" s="10">
        <v>330</v>
      </c>
      <c r="J72" s="10">
        <v>356</v>
      </c>
    </row>
    <row r="73" spans="2:10" x14ac:dyDescent="0.2">
      <c r="B73" s="1" t="s">
        <v>85</v>
      </c>
      <c r="F73" s="10">
        <v>810</v>
      </c>
      <c r="G73" s="10">
        <v>832</v>
      </c>
      <c r="H73" s="10">
        <v>892</v>
      </c>
      <c r="I73" s="10">
        <v>1031</v>
      </c>
      <c r="J73" s="10">
        <v>1074</v>
      </c>
    </row>
    <row r="74" spans="2:10" x14ac:dyDescent="0.2">
      <c r="B74" s="1" t="s">
        <v>79</v>
      </c>
      <c r="F74" s="10">
        <f>SUM(F68:F73)</f>
        <v>15408</v>
      </c>
      <c r="G74" s="10">
        <f>SUM(G68:G73)</f>
        <v>16988</v>
      </c>
      <c r="H74" s="10">
        <f>SUM(H68:H73)</f>
        <v>14671</v>
      </c>
      <c r="I74" s="10">
        <f>SUM(I68:I73)</f>
        <v>14707</v>
      </c>
      <c r="J74" s="10">
        <f>SUM(J68:J73)</f>
        <v>15884</v>
      </c>
    </row>
    <row r="75" spans="2:10" x14ac:dyDescent="0.2">
      <c r="B75" s="1" t="s">
        <v>78</v>
      </c>
      <c r="F75" s="10">
        <v>19001</v>
      </c>
      <c r="G75" s="10">
        <v>18625</v>
      </c>
      <c r="H75" s="10">
        <v>18961</v>
      </c>
      <c r="I75" s="10">
        <v>19504</v>
      </c>
      <c r="J75" s="10">
        <v>20415</v>
      </c>
    </row>
    <row r="76" spans="2:10" x14ac:dyDescent="0.2">
      <c r="B76" s="1" t="s">
        <v>77</v>
      </c>
      <c r="F76" s="10">
        <f>+SUM(F74:F75)</f>
        <v>34409</v>
      </c>
      <c r="G76" s="10">
        <f>+SUM(G74:G75)</f>
        <v>35613</v>
      </c>
      <c r="H76" s="10">
        <f>+SUM(H74:H75)</f>
        <v>33632</v>
      </c>
      <c r="I76" s="10">
        <f>+SUM(I74:I75)</f>
        <v>34211</v>
      </c>
      <c r="J76" s="10">
        <f>+SUM(J74:J75)</f>
        <v>36299</v>
      </c>
    </row>
    <row r="78" spans="2:10" x14ac:dyDescent="0.2">
      <c r="B78" s="24" t="s">
        <v>86</v>
      </c>
      <c r="C78" s="25">
        <f t="shared" ref="C78:J78" si="61">+SUM(C57:C58,C61)</f>
        <v>0</v>
      </c>
      <c r="D78" s="25">
        <f t="shared" si="61"/>
        <v>0</v>
      </c>
      <c r="E78" s="25">
        <f t="shared" si="61"/>
        <v>0</v>
      </c>
      <c r="F78" s="25">
        <f t="shared" si="61"/>
        <v>9470</v>
      </c>
      <c r="G78" s="25">
        <f t="shared" si="61"/>
        <v>10633</v>
      </c>
      <c r="H78" s="25">
        <f t="shared" si="61"/>
        <v>10403</v>
      </c>
      <c r="I78" s="25">
        <f t="shared" si="61"/>
        <v>11535</v>
      </c>
      <c r="J78" s="25">
        <f>+SUM(J57:J58,J61)</f>
        <v>10844</v>
      </c>
    </row>
    <row r="79" spans="2:10" x14ac:dyDescent="0.2">
      <c r="B79" s="3" t="s">
        <v>87</v>
      </c>
      <c r="C79" s="26">
        <f t="shared" ref="C79:J79" si="62">SUM(C68,C71)</f>
        <v>0</v>
      </c>
      <c r="D79" s="26">
        <f t="shared" si="62"/>
        <v>0</v>
      </c>
      <c r="E79" s="26">
        <f t="shared" si="62"/>
        <v>0</v>
      </c>
      <c r="F79" s="26">
        <f t="shared" si="62"/>
        <v>6259</v>
      </c>
      <c r="G79" s="26">
        <f t="shared" si="62"/>
        <v>8535</v>
      </c>
      <c r="H79" s="26">
        <f t="shared" si="62"/>
        <v>6261</v>
      </c>
      <c r="I79" s="26">
        <f t="shared" si="62"/>
        <v>6262</v>
      </c>
      <c r="J79" s="26">
        <f>SUM(J68,J71)</f>
        <v>6555</v>
      </c>
    </row>
    <row r="80" spans="2:10" x14ac:dyDescent="0.2">
      <c r="B80" s="27" t="s">
        <v>66</v>
      </c>
      <c r="C80" s="28">
        <f t="shared" ref="C80:I80" si="63">+C78-C79</f>
        <v>0</v>
      </c>
      <c r="D80" s="28">
        <f t="shared" si="63"/>
        <v>0</v>
      </c>
      <c r="E80" s="28">
        <f t="shared" si="63"/>
        <v>0</v>
      </c>
      <c r="F80" s="28">
        <f t="shared" si="63"/>
        <v>3211</v>
      </c>
      <c r="G80" s="28">
        <f t="shared" si="63"/>
        <v>2098</v>
      </c>
      <c r="H80" s="28">
        <f t="shared" si="63"/>
        <v>4142</v>
      </c>
      <c r="I80" s="28">
        <f t="shared" si="63"/>
        <v>5273</v>
      </c>
      <c r="J80" s="28">
        <f>+J78-J79</f>
        <v>4289</v>
      </c>
    </row>
    <row r="81" spans="2:10" x14ac:dyDescent="0.2">
      <c r="B81" s="24" t="s">
        <v>88</v>
      </c>
      <c r="C81" s="25">
        <f>+C75</f>
        <v>0</v>
      </c>
      <c r="D81" s="25">
        <f t="shared" ref="D81:J81" si="64">+D75</f>
        <v>0</v>
      </c>
      <c r="E81" s="25">
        <f t="shared" si="64"/>
        <v>0</v>
      </c>
      <c r="F81" s="25">
        <f t="shared" si="64"/>
        <v>19001</v>
      </c>
      <c r="G81" s="25">
        <f t="shared" si="64"/>
        <v>18625</v>
      </c>
      <c r="H81" s="25">
        <f t="shared" si="64"/>
        <v>18961</v>
      </c>
      <c r="I81" s="25">
        <f t="shared" si="64"/>
        <v>19504</v>
      </c>
      <c r="J81" s="25">
        <f t="shared" si="64"/>
        <v>20415</v>
      </c>
    </row>
    <row r="82" spans="2:10" x14ac:dyDescent="0.2">
      <c r="B82" s="3" t="s">
        <v>89</v>
      </c>
      <c r="C82" s="26">
        <f>+C75-SUM(C63:C64)</f>
        <v>0</v>
      </c>
      <c r="D82" s="26">
        <f t="shared" ref="D82:J82" si="65">+D75-SUM(D63:D64)</f>
        <v>0</v>
      </c>
      <c r="E82" s="26">
        <f t="shared" si="65"/>
        <v>0</v>
      </c>
      <c r="F82" s="26">
        <f t="shared" si="65"/>
        <v>15020</v>
      </c>
      <c r="G82" s="26">
        <f t="shared" si="65"/>
        <v>14620</v>
      </c>
      <c r="H82" s="26">
        <f t="shared" si="65"/>
        <v>14964</v>
      </c>
      <c r="I82" s="26">
        <f t="shared" si="65"/>
        <v>15518</v>
      </c>
      <c r="J82" s="26">
        <f t="shared" si="65"/>
        <v>16482</v>
      </c>
    </row>
    <row r="83" spans="2:10" x14ac:dyDescent="0.2">
      <c r="B83" s="27" t="s">
        <v>90</v>
      </c>
      <c r="C83" s="29" t="str">
        <f>IFERROR(SUM(#REF!)/C82, "")</f>
        <v/>
      </c>
      <c r="D83" s="29" t="str">
        <f t="shared" ref="D83:I83" si="66">IFERROR(SUM(A35:D35)/D82, "")</f>
        <v/>
      </c>
      <c r="E83" s="29" t="str">
        <f t="shared" si="66"/>
        <v/>
      </c>
      <c r="F83" s="29">
        <f t="shared" si="66"/>
        <v>0.47782956058588549</v>
      </c>
      <c r="G83" s="29">
        <f t="shared" si="66"/>
        <v>0.43385772913816689</v>
      </c>
      <c r="H83" s="29">
        <f t="shared" si="66"/>
        <v>0.4516172146484897</v>
      </c>
      <c r="I83" s="29">
        <f t="shared" si="66"/>
        <v>0.44026292047944321</v>
      </c>
      <c r="J83" s="29">
        <f>IFERROR(SUM(G35:J35)/J82, "")</f>
        <v>0.43556607207863124</v>
      </c>
    </row>
    <row r="84" spans="2:10" x14ac:dyDescent="0.2">
      <c r="B84" s="31" t="s">
        <v>95</v>
      </c>
      <c r="C84" s="30"/>
      <c r="D84" s="30"/>
      <c r="E84" s="30"/>
      <c r="F84" s="30"/>
      <c r="G84" s="30"/>
      <c r="H84" s="30"/>
      <c r="I84" s="30"/>
      <c r="J84" s="30"/>
    </row>
    <row r="85" spans="2:10" x14ac:dyDescent="0.2">
      <c r="B85" s="1" t="s">
        <v>91</v>
      </c>
      <c r="C85" s="22" t="str">
        <f t="shared" ref="C85:J85" si="67">IFERROR(SUM(C56:C60)/SUM(C68:C70),"")</f>
        <v/>
      </c>
      <c r="D85" s="22" t="str">
        <f t="shared" si="67"/>
        <v/>
      </c>
      <c r="E85" s="22" t="str">
        <f t="shared" si="67"/>
        <v/>
      </c>
      <c r="F85" s="22">
        <f t="shared" si="67"/>
        <v>2.5059045819555976</v>
      </c>
      <c r="G85" s="22">
        <f t="shared" si="67"/>
        <v>2.6750258531540849</v>
      </c>
      <c r="H85" s="22">
        <f t="shared" si="67"/>
        <v>2.4647323661830915</v>
      </c>
      <c r="I85" s="22">
        <f t="shared" si="67"/>
        <v>2.5013319802105798</v>
      </c>
      <c r="J85" s="22">
        <f>IFERROR(SUM(J56:J60)/SUM(J68:J70),"")</f>
        <v>2.6104513064133017</v>
      </c>
    </row>
    <row r="86" spans="2:10" x14ac:dyDescent="0.2">
      <c r="B86" s="1" t="s">
        <v>94</v>
      </c>
      <c r="C86" s="22"/>
      <c r="D86" s="22"/>
      <c r="E86" s="22"/>
      <c r="F86" s="22">
        <f>SUM(F56:F58,F59) / SUM(F68:F70)</f>
        <v>2.3767123287671232</v>
      </c>
      <c r="G86" s="22">
        <f>SUM(G56:G58,G59) / SUM(G68:G70)</f>
        <v>2.5480868665977248</v>
      </c>
      <c r="H86" s="22">
        <f>SUM(H56:H58,H59) / SUM(H68:H70)</f>
        <v>2.3249124562281143</v>
      </c>
      <c r="I86" s="22">
        <f>SUM(I56:I58,I59) / SUM(I68:I70)</f>
        <v>2.3586198147913233</v>
      </c>
      <c r="J86" s="22">
        <f>SUM(J56:J58,J59) / SUM(J68:J70)</f>
        <v>2.4594324290536318</v>
      </c>
    </row>
    <row r="87" spans="2:10" x14ac:dyDescent="0.2">
      <c r="B87" s="1" t="s">
        <v>92</v>
      </c>
      <c r="G87" s="22">
        <f t="shared" ref="G87:I87" si="68">SUM(D26:G26)/AVERAGE(F59:G59)</f>
        <v>2.6453030580479764</v>
      </c>
      <c r="H87" s="22">
        <f t="shared" si="68"/>
        <v>2.611454692121538</v>
      </c>
      <c r="I87" s="22">
        <f t="shared" si="68"/>
        <v>2.5708802233272268</v>
      </c>
      <c r="J87" s="22">
        <f>SUM(G26:J26)/AVERAGE(I59:J59)</f>
        <v>2.4842177102883465</v>
      </c>
    </row>
    <row r="88" spans="2:10" x14ac:dyDescent="0.2">
      <c r="B88" s="18" t="s">
        <v>93</v>
      </c>
      <c r="G88" s="10">
        <f>365/G87</f>
        <v>137.98040980202134</v>
      </c>
      <c r="H88" s="10">
        <f t="shared" ref="H88:J88" si="69">365/H87</f>
        <v>139.76884266886327</v>
      </c>
      <c r="I88" s="10">
        <f t="shared" si="69"/>
        <v>141.9747200542925</v>
      </c>
      <c r="J88" s="10">
        <f t="shared" si="69"/>
        <v>146.92754120879121</v>
      </c>
    </row>
    <row r="89" spans="2:10" x14ac:dyDescent="0.2">
      <c r="B89" s="6" t="s">
        <v>96</v>
      </c>
    </row>
    <row r="90" spans="2:10" x14ac:dyDescent="0.2">
      <c r="B90" s="1" t="s">
        <v>97</v>
      </c>
      <c r="F90" s="13">
        <f>+F79/F75</f>
        <v>0.32940371559391612</v>
      </c>
      <c r="G90" s="13">
        <f>+G79/G75</f>
        <v>0.458255033557047</v>
      </c>
      <c r="H90" s="13">
        <f>+H79/H75</f>
        <v>0.33020410315911608</v>
      </c>
      <c r="I90" s="13">
        <f>+I79/I75</f>
        <v>0.32106234618539786</v>
      </c>
      <c r="J90" s="13">
        <f>+J79/J75</f>
        <v>0.32108743570903747</v>
      </c>
    </row>
    <row r="91" spans="2:10" x14ac:dyDescent="0.2">
      <c r="B91" s="1" t="s">
        <v>98</v>
      </c>
      <c r="F91" s="13">
        <f>+F79 / F82</f>
        <v>0.41671105193075897</v>
      </c>
      <c r="G91" s="13">
        <f t="shared" ref="G91:J91" si="70">+G79 / G82</f>
        <v>0.58378932968536257</v>
      </c>
      <c r="H91" s="13">
        <f t="shared" si="70"/>
        <v>0.41840417000801927</v>
      </c>
      <c r="I91" s="13">
        <f t="shared" si="70"/>
        <v>0.40353138291016882</v>
      </c>
      <c r="J91" s="13">
        <f t="shared" si="70"/>
        <v>0.39770658900618855</v>
      </c>
    </row>
    <row r="92" spans="2:10" x14ac:dyDescent="0.2">
      <c r="B92" s="1" t="s">
        <v>128</v>
      </c>
      <c r="H92" s="13">
        <f t="shared" ref="H92:I92" si="71">ABS(SUM(E106:H106)) / SUM(E25:H25)</f>
        <v>5.6783794367902027E-2</v>
      </c>
      <c r="I92" s="13">
        <f t="shared" si="71"/>
        <v>6.5774298395834055E-2</v>
      </c>
      <c r="J92" s="13">
        <f>ABS(SUM(G106:J106)) / SUM(G25:J25)</f>
        <v>7.9667230682459109E-2</v>
      </c>
    </row>
    <row r="96" spans="2:10" x14ac:dyDescent="0.2">
      <c r="B96" s="1" t="s">
        <v>100</v>
      </c>
      <c r="E96" s="10">
        <v>1705</v>
      </c>
      <c r="F96" s="10">
        <v>1731</v>
      </c>
      <c r="G96" s="10">
        <v>1185</v>
      </c>
      <c r="H96" s="10">
        <v>2137</v>
      </c>
      <c r="I96" s="10">
        <v>1779</v>
      </c>
      <c r="J96" s="10">
        <v>1897</v>
      </c>
    </row>
    <row r="97" spans="2:10" x14ac:dyDescent="0.2">
      <c r="B97" s="1" t="s">
        <v>101</v>
      </c>
      <c r="E97" s="10">
        <v>95</v>
      </c>
      <c r="F97" s="10">
        <v>110</v>
      </c>
      <c r="G97" s="10">
        <v>105</v>
      </c>
      <c r="H97" s="10">
        <v>103</v>
      </c>
      <c r="I97" s="10">
        <v>113</v>
      </c>
      <c r="J97" s="10">
        <v>114</v>
      </c>
    </row>
    <row r="98" spans="2:10" x14ac:dyDescent="0.2">
      <c r="B98" s="1" t="s">
        <v>102</v>
      </c>
      <c r="E98" s="1">
        <v>0</v>
      </c>
      <c r="F98" s="10">
        <v>0</v>
      </c>
      <c r="G98" s="10">
        <v>0</v>
      </c>
      <c r="H98" s="10">
        <v>0</v>
      </c>
      <c r="I98" s="1">
        <v>0</v>
      </c>
      <c r="J98" s="10">
        <v>179</v>
      </c>
    </row>
    <row r="99" spans="2:10" x14ac:dyDescent="0.2">
      <c r="B99" s="1" t="s">
        <v>103</v>
      </c>
      <c r="E99" s="10">
        <v>-179</v>
      </c>
      <c r="F99" s="10">
        <v>-248</v>
      </c>
      <c r="G99" s="10">
        <v>668</v>
      </c>
      <c r="H99" s="10">
        <v>4</v>
      </c>
      <c r="I99" s="10">
        <v>280</v>
      </c>
      <c r="J99" s="10">
        <v>-313</v>
      </c>
    </row>
    <row r="100" spans="2:10" x14ac:dyDescent="0.2">
      <c r="B100" s="1" t="s">
        <v>106</v>
      </c>
      <c r="E100" s="10">
        <v>0</v>
      </c>
      <c r="F100" s="10">
        <v>241</v>
      </c>
      <c r="G100" s="10">
        <v>0</v>
      </c>
      <c r="H100" s="10">
        <v>0</v>
      </c>
      <c r="I100" s="10">
        <v>0</v>
      </c>
      <c r="J100" s="10">
        <v>-522</v>
      </c>
    </row>
    <row r="101" spans="2:10" x14ac:dyDescent="0.2">
      <c r="B101" s="1" t="s">
        <v>104</v>
      </c>
      <c r="E101" s="1">
        <v>132</v>
      </c>
      <c r="F101" s="10">
        <v>141</v>
      </c>
      <c r="G101" s="10">
        <v>195</v>
      </c>
      <c r="H101" s="10">
        <v>159</v>
      </c>
      <c r="I101" s="10">
        <v>158</v>
      </c>
      <c r="J101" s="10">
        <v>156</v>
      </c>
    </row>
    <row r="102" spans="2:10" x14ac:dyDescent="0.2">
      <c r="B102" s="1" t="s">
        <v>105</v>
      </c>
      <c r="E102" s="10">
        <v>48</v>
      </c>
      <c r="F102" s="10">
        <v>5</v>
      </c>
      <c r="G102" s="10">
        <v>95</v>
      </c>
      <c r="H102" s="10">
        <v>-109</v>
      </c>
      <c r="I102" s="10">
        <v>-284</v>
      </c>
      <c r="J102" s="10">
        <v>59</v>
      </c>
    </row>
    <row r="103" spans="2:10" x14ac:dyDescent="0.2">
      <c r="B103" s="1" t="s">
        <v>107</v>
      </c>
      <c r="E103" s="10">
        <v>584</v>
      </c>
      <c r="F103" s="10">
        <v>595</v>
      </c>
      <c r="G103" s="10">
        <v>-1323</v>
      </c>
      <c r="H103" s="10">
        <v>-723</v>
      </c>
      <c r="I103" s="10">
        <v>588</v>
      </c>
      <c r="J103" s="10">
        <v>1258</v>
      </c>
    </row>
    <row r="104" spans="2:10" s="6" customFormat="1" x14ac:dyDescent="0.2">
      <c r="B104" s="6" t="s">
        <v>99</v>
      </c>
      <c r="C104" s="14">
        <f t="shared" ref="C104:I104" si="72">+SUM(C96:C103)</f>
        <v>0</v>
      </c>
      <c r="D104" s="14">
        <f t="shared" si="72"/>
        <v>0</v>
      </c>
      <c r="E104" s="14">
        <f t="shared" si="72"/>
        <v>2385</v>
      </c>
      <c r="F104" s="14">
        <f>+SUM(F96:F103)</f>
        <v>2575</v>
      </c>
      <c r="G104" s="14">
        <f t="shared" si="72"/>
        <v>925</v>
      </c>
      <c r="H104" s="14">
        <f t="shared" si="72"/>
        <v>1571</v>
      </c>
      <c r="I104" s="14">
        <f t="shared" si="72"/>
        <v>2634</v>
      </c>
      <c r="J104" s="14">
        <f>+SUM(J96:J103)</f>
        <v>2828</v>
      </c>
    </row>
    <row r="106" spans="2:10" x14ac:dyDescent="0.2">
      <c r="B106" s="1" t="s">
        <v>109</v>
      </c>
      <c r="E106" s="10">
        <v>-297</v>
      </c>
      <c r="F106" s="10">
        <v>-407</v>
      </c>
      <c r="G106" s="10">
        <v>-381</v>
      </c>
      <c r="H106" s="10">
        <v>-510</v>
      </c>
      <c r="I106" s="10">
        <v>-584</v>
      </c>
      <c r="J106" s="10">
        <v>-785</v>
      </c>
    </row>
    <row r="107" spans="2:10" x14ac:dyDescent="0.2">
      <c r="B107" s="1" t="s">
        <v>110</v>
      </c>
      <c r="E107" s="10">
        <v>0</v>
      </c>
      <c r="F107" s="10">
        <v>0</v>
      </c>
      <c r="G107" s="10">
        <v>-28</v>
      </c>
      <c r="H107" s="10">
        <v>-1</v>
      </c>
      <c r="I107" s="10">
        <v>0</v>
      </c>
      <c r="J107" s="10">
        <v>0</v>
      </c>
    </row>
    <row r="108" spans="2:10" x14ac:dyDescent="0.2">
      <c r="B108" s="1" t="s">
        <v>111</v>
      </c>
      <c r="E108" s="10">
        <v>0</v>
      </c>
      <c r="F108" s="10">
        <v>0</v>
      </c>
      <c r="G108" s="10">
        <v>0</v>
      </c>
      <c r="H108" s="10">
        <v>33</v>
      </c>
      <c r="I108" s="10">
        <v>0</v>
      </c>
      <c r="J108" s="10">
        <v>0</v>
      </c>
    </row>
    <row r="109" spans="2:10" x14ac:dyDescent="0.2">
      <c r="B109" s="1" t="s">
        <v>113</v>
      </c>
      <c r="E109" s="10">
        <v>382</v>
      </c>
      <c r="F109" s="10">
        <v>956</v>
      </c>
      <c r="G109" s="10">
        <v>1223</v>
      </c>
      <c r="H109" s="10">
        <v>1921</v>
      </c>
      <c r="I109" s="10">
        <v>793</v>
      </c>
      <c r="J109" s="10">
        <v>1591</v>
      </c>
    </row>
    <row r="110" spans="2:10" x14ac:dyDescent="0.2">
      <c r="B110" s="1" t="s">
        <v>112</v>
      </c>
      <c r="E110" s="10">
        <v>-745</v>
      </c>
      <c r="F110" s="10">
        <v>-1620</v>
      </c>
      <c r="G110" s="10">
        <v>-1711</v>
      </c>
      <c r="H110" s="10">
        <v>-1222</v>
      </c>
      <c r="I110" s="10">
        <v>-2176</v>
      </c>
      <c r="J110" s="10">
        <v>-945</v>
      </c>
    </row>
    <row r="111" spans="2:10" s="6" customFormat="1" x14ac:dyDescent="0.2">
      <c r="B111" s="6" t="s">
        <v>108</v>
      </c>
      <c r="C111" s="14"/>
      <c r="D111" s="14"/>
      <c r="E111" s="14">
        <f>+SUM(E106:E110)</f>
        <v>-660</v>
      </c>
      <c r="F111" s="14">
        <f>+SUM(F106:F110)</f>
        <v>-1071</v>
      </c>
      <c r="G111" s="14">
        <f t="shared" ref="G111:H111" si="73">+SUM(G106:G110)</f>
        <v>-897</v>
      </c>
      <c r="H111" s="14">
        <f t="shared" si="73"/>
        <v>221</v>
      </c>
      <c r="I111" s="14">
        <f>+SUM(I106:I110)</f>
        <v>-1967</v>
      </c>
      <c r="J111" s="14">
        <f>+SUM(J106:J110)</f>
        <v>-139</v>
      </c>
    </row>
    <row r="113" spans="2:10" x14ac:dyDescent="0.2">
      <c r="B113" s="1" t="s">
        <v>115</v>
      </c>
      <c r="E113" s="10">
        <v>694</v>
      </c>
      <c r="F113" s="10">
        <v>0</v>
      </c>
      <c r="G113" s="10">
        <v>0</v>
      </c>
      <c r="H113" s="10">
        <v>0</v>
      </c>
      <c r="I113" s="10">
        <v>0</v>
      </c>
      <c r="J113" s="10">
        <v>991</v>
      </c>
    </row>
    <row r="114" spans="2:10" x14ac:dyDescent="0.2">
      <c r="B114" s="1" t="s">
        <v>116</v>
      </c>
      <c r="E114" s="10">
        <v>100</v>
      </c>
      <c r="F114" s="10">
        <v>0</v>
      </c>
      <c r="G114" s="10">
        <v>0</v>
      </c>
      <c r="H114" s="10">
        <v>0</v>
      </c>
      <c r="I114" s="10">
        <v>100</v>
      </c>
      <c r="J114" s="10">
        <v>-700</v>
      </c>
    </row>
    <row r="115" spans="2:10" x14ac:dyDescent="0.2">
      <c r="B115" s="1" t="s">
        <v>117</v>
      </c>
      <c r="E115" s="10">
        <v>-100</v>
      </c>
      <c r="F115" s="10">
        <v>101</v>
      </c>
      <c r="G115" s="10">
        <v>200</v>
      </c>
      <c r="H115" s="10">
        <v>100</v>
      </c>
      <c r="I115" s="10">
        <v>-100</v>
      </c>
      <c r="J115" s="10">
        <v>103</v>
      </c>
    </row>
    <row r="116" spans="2:10" x14ac:dyDescent="0.2">
      <c r="B116" s="1" t="s">
        <v>118</v>
      </c>
      <c r="E116" s="10">
        <v>0</v>
      </c>
      <c r="F116" s="10">
        <v>-100</v>
      </c>
      <c r="G116" s="10">
        <v>-200</v>
      </c>
      <c r="H116" s="10">
        <v>-100</v>
      </c>
      <c r="I116" s="10">
        <v>0</v>
      </c>
      <c r="J116" s="10">
        <v>-102</v>
      </c>
    </row>
    <row r="117" spans="2:10" x14ac:dyDescent="0.2">
      <c r="B117" s="1" t="s">
        <v>119</v>
      </c>
      <c r="E117" s="10">
        <v>0</v>
      </c>
      <c r="F117" s="10">
        <v>124</v>
      </c>
      <c r="G117" s="10">
        <v>-1318</v>
      </c>
      <c r="H117" s="10">
        <v>129</v>
      </c>
      <c r="I117" s="10">
        <v>0</v>
      </c>
      <c r="J117" s="10">
        <v>132</v>
      </c>
    </row>
    <row r="118" spans="2:10" x14ac:dyDescent="0.2">
      <c r="B118" s="1" t="s">
        <v>120</v>
      </c>
      <c r="E118" s="10">
        <v>-861</v>
      </c>
      <c r="F118" s="10">
        <v>-1442</v>
      </c>
      <c r="G118" s="10">
        <v>0</v>
      </c>
      <c r="H118" s="10">
        <v>-1670</v>
      </c>
      <c r="I118" s="10">
        <v>-1056</v>
      </c>
      <c r="J118" s="10">
        <v>-851</v>
      </c>
    </row>
    <row r="119" spans="2:10" x14ac:dyDescent="0.2">
      <c r="B119" s="1" t="s">
        <v>121</v>
      </c>
      <c r="E119" s="10">
        <v>-25</v>
      </c>
      <c r="F119" s="10">
        <v>-33</v>
      </c>
      <c r="G119" s="10">
        <v>-142</v>
      </c>
      <c r="H119" s="10">
        <v>-35</v>
      </c>
      <c r="I119" s="10">
        <v>-33</v>
      </c>
      <c r="J119" s="10">
        <v>-38</v>
      </c>
    </row>
    <row r="120" spans="2:10" x14ac:dyDescent="0.2">
      <c r="B120" s="1" t="s">
        <v>122</v>
      </c>
      <c r="E120" s="10">
        <v>-331</v>
      </c>
      <c r="F120" s="10">
        <v>-329</v>
      </c>
      <c r="G120" s="10">
        <v>-326</v>
      </c>
      <c r="H120" s="10">
        <v>-325</v>
      </c>
      <c r="I120" s="10">
        <v>-368</v>
      </c>
      <c r="J120" s="10">
        <v>-365</v>
      </c>
    </row>
    <row r="121" spans="2:10" x14ac:dyDescent="0.2">
      <c r="B121" s="1" t="s">
        <v>123</v>
      </c>
      <c r="E121" s="10">
        <v>0</v>
      </c>
      <c r="F121" s="10">
        <v>0</v>
      </c>
      <c r="G121" s="10">
        <v>0</v>
      </c>
      <c r="H121" s="10">
        <v>-2</v>
      </c>
      <c r="I121" s="10">
        <v>0</v>
      </c>
      <c r="J121" s="10">
        <v>-1</v>
      </c>
    </row>
    <row r="122" spans="2:10" x14ac:dyDescent="0.2">
      <c r="B122" s="1" t="s">
        <v>124</v>
      </c>
      <c r="E122" s="10">
        <v>1</v>
      </c>
      <c r="F122" s="10">
        <v>-90</v>
      </c>
      <c r="G122" s="10">
        <v>0</v>
      </c>
      <c r="H122" s="10">
        <v>0</v>
      </c>
      <c r="I122" s="10">
        <v>0</v>
      </c>
      <c r="J122" s="10">
        <v>0</v>
      </c>
    </row>
    <row r="123" spans="2:10" s="6" customFormat="1" x14ac:dyDescent="0.2">
      <c r="B123" s="6" t="s">
        <v>114</v>
      </c>
      <c r="C123" s="14"/>
      <c r="D123" s="14"/>
      <c r="E123" s="14">
        <f>+SUM(E113:E122)</f>
        <v>-522</v>
      </c>
      <c r="F123" s="14">
        <f>+SUM(F113:F122)</f>
        <v>-1769</v>
      </c>
      <c r="G123" s="14">
        <f>+SUM(G113:G122)</f>
        <v>-1786</v>
      </c>
      <c r="H123" s="14">
        <f>+SUM(H113:H122)</f>
        <v>-1903</v>
      </c>
      <c r="I123" s="14">
        <f>+SUM(I113:I122)</f>
        <v>-1457</v>
      </c>
      <c r="J123" s="14">
        <f>+SUM(J113:J122)</f>
        <v>-831</v>
      </c>
    </row>
    <row r="124" spans="2:10" x14ac:dyDescent="0.2">
      <c r="B124" s="1" t="s">
        <v>125</v>
      </c>
      <c r="E124" s="10">
        <f>SUM(E104,E111,E123)</f>
        <v>1203</v>
      </c>
      <c r="F124" s="10">
        <f>SUM(F104,F111,F123)</f>
        <v>-265</v>
      </c>
      <c r="G124" s="10">
        <f t="shared" ref="G124:H124" si="74">SUM(G104,G111,G123)</f>
        <v>-1758</v>
      </c>
      <c r="H124" s="10">
        <f t="shared" si="74"/>
        <v>-111</v>
      </c>
      <c r="I124" s="10">
        <f>SUM(I104,I111,I123)</f>
        <v>-790</v>
      </c>
      <c r="J124" s="10">
        <f>SUM(J104,J111,J123)</f>
        <v>1858</v>
      </c>
    </row>
    <row r="125" spans="2:10" x14ac:dyDescent="0.2">
      <c r="B125" s="1" t="s">
        <v>126</v>
      </c>
      <c r="E125" s="10">
        <v>7175</v>
      </c>
      <c r="F125" s="10">
        <v>8378</v>
      </c>
      <c r="G125" s="10">
        <f>+F126</f>
        <v>8113</v>
      </c>
      <c r="H125" s="10">
        <f>+G126</f>
        <v>6355</v>
      </c>
      <c r="I125" s="10">
        <f>+H126</f>
        <v>6244</v>
      </c>
      <c r="J125" s="10">
        <f>+I126</f>
        <v>5454</v>
      </c>
    </row>
    <row r="126" spans="2:10" x14ac:dyDescent="0.2">
      <c r="B126" s="1" t="s">
        <v>127</v>
      </c>
      <c r="E126" s="10">
        <f>+SUM(E124:E125)</f>
        <v>8378</v>
      </c>
      <c r="F126" s="10">
        <f>+SUM(F124:F125)</f>
        <v>8113</v>
      </c>
      <c r="G126" s="10">
        <f>+SUM(G124:G125)</f>
        <v>6355</v>
      </c>
      <c r="H126" s="10">
        <f>+SUM(H124:H125)</f>
        <v>6244</v>
      </c>
      <c r="I126" s="10">
        <f>+SUM(I124:I125)</f>
        <v>5454</v>
      </c>
      <c r="J126" s="10">
        <f>+SUM(J124:J125)</f>
        <v>7312</v>
      </c>
    </row>
    <row r="127" spans="2:10" s="23" customFormat="1" x14ac:dyDescent="0.2">
      <c r="B127" s="23" t="s">
        <v>129</v>
      </c>
      <c r="C127" s="32"/>
      <c r="D127" s="32"/>
      <c r="E127" s="32"/>
      <c r="F127" s="32"/>
      <c r="G127" s="32"/>
      <c r="H127" s="32"/>
      <c r="I127" s="33">
        <f>+I126-I56</f>
        <v>70</v>
      </c>
      <c r="J127" s="32"/>
    </row>
    <row r="129" spans="2:10" x14ac:dyDescent="0.2">
      <c r="B129" s="1" t="s">
        <v>130</v>
      </c>
      <c r="E129" s="10">
        <f t="shared" ref="E129:J129" si="75">+E104+E106</f>
        <v>2088</v>
      </c>
      <c r="F129" s="10">
        <f t="shared" si="75"/>
        <v>2168</v>
      </c>
      <c r="G129" s="10">
        <f t="shared" si="75"/>
        <v>544</v>
      </c>
      <c r="H129" s="10">
        <f t="shared" si="75"/>
        <v>1061</v>
      </c>
      <c r="I129" s="10">
        <f t="shared" si="75"/>
        <v>2050</v>
      </c>
      <c r="J129" s="10">
        <f>+J104+J106</f>
        <v>2043</v>
      </c>
    </row>
    <row r="130" spans="2:10" x14ac:dyDescent="0.2">
      <c r="B130" s="1" t="s">
        <v>27</v>
      </c>
      <c r="E130" s="10">
        <f>+E35</f>
        <v>1705</v>
      </c>
      <c r="F130" s="10">
        <f t="shared" ref="F130:J130" si="76">+F35</f>
        <v>1731</v>
      </c>
      <c r="G130" s="10">
        <f t="shared" si="76"/>
        <v>1185</v>
      </c>
      <c r="H130" s="10">
        <f t="shared" si="76"/>
        <v>2137</v>
      </c>
      <c r="I130" s="10">
        <f t="shared" si="76"/>
        <v>1779</v>
      </c>
      <c r="J130" s="10">
        <f t="shared" si="76"/>
        <v>2078</v>
      </c>
    </row>
    <row r="132" spans="2:10" x14ac:dyDescent="0.2">
      <c r="B132" s="1" t="s">
        <v>131</v>
      </c>
      <c r="H132" s="10">
        <f>SUM(E129:H129)</f>
        <v>5861</v>
      </c>
      <c r="I132" s="10">
        <f>SUM(F129:I129)</f>
        <v>5823</v>
      </c>
      <c r="J132" s="10">
        <f>SUM(G129:J129)</f>
        <v>5698</v>
      </c>
    </row>
    <row r="133" spans="2:10" x14ac:dyDescent="0.2">
      <c r="B133" s="1" t="s">
        <v>132</v>
      </c>
      <c r="H133" s="10">
        <f>SUM(E130:H130)</f>
        <v>6758</v>
      </c>
      <c r="I133" s="10">
        <f>SUM(F130:I130)</f>
        <v>6832</v>
      </c>
      <c r="J133" s="10">
        <f>SUM(G130:J130)</f>
        <v>7179</v>
      </c>
    </row>
    <row r="134" spans="2:10" x14ac:dyDescent="0.2">
      <c r="H134" s="10">
        <f>+H132-H133</f>
        <v>-897</v>
      </c>
      <c r="I134" s="10">
        <f>+I132-I133</f>
        <v>-1009</v>
      </c>
      <c r="J134" s="10">
        <f>+J132-J133</f>
        <v>-1481</v>
      </c>
    </row>
  </sheetData>
  <pageMargins left="0.7" right="0.7" top="0.75" bottom="0.75" header="0.3" footer="0.3"/>
  <ignoredErrors>
    <ignoredError sqref="F25:F36" formula="1"/>
    <ignoredError sqref="E85:J89 E82:J83 E91 E9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2025-11-17T15:29:42Z</dcterms:created>
  <dcterms:modified xsi:type="dcterms:W3CDTF">2025-11-18T05:50:48Z</dcterms:modified>
</cp:coreProperties>
</file>